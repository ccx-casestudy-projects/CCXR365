
<file path=[Content_Types].xml><?xml version="1.0" encoding="utf-8"?>
<Types xmlns="http://schemas.openxmlformats.org/package/2006/content-types">
  <Default Extension="gif" ContentType="image/gif"/>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13"/>
  <workbookPr codeName="ThisWorkbook" defaultThemeVersion="166925"/>
  <mc:AlternateContent xmlns:mc="http://schemas.openxmlformats.org/markup-compatibility/2006">
    <mc:Choice Requires="x15">
      <x15ac:absPath xmlns:x15ac="http://schemas.microsoft.com/office/spreadsheetml/2010/11/ac" url="C:\Users\LauraMassey\Desktop\"/>
    </mc:Choice>
  </mc:AlternateContent>
  <xr:revisionPtr revIDLastSave="0" documentId="8_{6C9F050B-6435-4A38-859A-7F1FC7BF1FA3}" xr6:coauthVersionLast="47" xr6:coauthVersionMax="47" xr10:uidLastSave="{00000000-0000-0000-0000-000000000000}"/>
  <bookViews>
    <workbookView xWindow="28680" yWindow="-120" windowWidth="29040" windowHeight="15840" xr2:uid="{00000000-000D-0000-FFFF-FFFF00000000}"/>
  </bookViews>
  <sheets>
    <sheet name="ENT Order Form" sheetId="37" r:id="rId1"/>
    <sheet name="Promo ENT Order Form" sheetId="28" r:id="rId2"/>
    <sheet name="Channel Package Features" sheetId="40" r:id="rId3"/>
    <sheet name="Products - External" sheetId="39" r:id="rId4"/>
    <sheet name="Products - Internal" sheetId="16" r:id="rId5"/>
  </sheets>
  <definedNames>
    <definedName name="AdvancedFeatures" localSheetId="0">AdvFeat_tbl[Advanced Features]</definedName>
    <definedName name="AdvancedFeatures" localSheetId="3">AdvFeat_tbl9[]</definedName>
    <definedName name="AdvancedFeatures" localSheetId="1">AdvFeat_tbl[Advanced Features]</definedName>
    <definedName name="AdvancedFeatures">AdvFeat_tbl[Advanced Features]</definedName>
    <definedName name="LocationQty" localSheetId="3">'Products - External'!$B$60:$B$67</definedName>
    <definedName name="LocationQty">'Products - Internal'!$B$63:$B$70</definedName>
    <definedName name="Margin" localSheetId="3">'Products - External'!$E$5</definedName>
    <definedName name="Margin">'Products - Internal'!$E$5</definedName>
    <definedName name="MarginLookup" localSheetId="3">'Products - External'!$B$60:$C$67</definedName>
    <definedName name="MarginLookup">'Products - Internal'!$B$63:$C$70</definedName>
    <definedName name="ProfessionalPackage" localSheetId="3">'Products - External'!$B$25:$B$26</definedName>
    <definedName name="Rebate_tbl" localSheetId="3">'Products - External'!$B$72:$C$80</definedName>
    <definedName name="Rebate_tbl">'Products - Internal'!$B$75:$C$83</definedName>
    <definedName name="ServicePayments" localSheetId="3">'Products - External'!#REF!</definedName>
    <definedName name="ServicePayments">'Products - Internal'!$C$90:$C$95</definedName>
    <definedName name="Services_Discount" localSheetId="3">'Products - External'!$B$83:$C$88</definedName>
    <definedName name="Services_Discount">'Products - Internal'!$B$101:$C$106</definedName>
    <definedName name="Subscription">'Products - Internal'!$C$96:$C$97</definedName>
    <definedName name="Varmargin">'Products - Internal'!$B$75:$C$82</definedName>
    <definedName name="VarQty">'Products - Internal'!$B$75:$B$82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8" i="28" l="1"/>
  <c r="C8" i="28"/>
  <c r="H8" i="37"/>
  <c r="G5" i="40" l="1"/>
  <c r="G8" i="40" s="1"/>
  <c r="G20" i="28"/>
  <c r="G19" i="28"/>
  <c r="C20" i="28"/>
  <c r="C19" i="28"/>
  <c r="G15" i="28"/>
  <c r="E5" i="39"/>
  <c r="E34" i="39" s="1"/>
  <c r="G15" i="37"/>
  <c r="H15" i="37" s="1"/>
  <c r="C15" i="37"/>
  <c r="C15" i="28"/>
  <c r="C14" i="37"/>
  <c r="C16" i="37"/>
  <c r="G26" i="37"/>
  <c r="H26" i="37" s="1"/>
  <c r="C26" i="37"/>
  <c r="G25" i="37"/>
  <c r="H25" i="37" s="1"/>
  <c r="C25" i="37"/>
  <c r="G24" i="37"/>
  <c r="H24" i="37" s="1"/>
  <c r="C24" i="37"/>
  <c r="C23" i="37"/>
  <c r="G17" i="37"/>
  <c r="H17" i="37" s="1"/>
  <c r="C17" i="37"/>
  <c r="G16" i="37"/>
  <c r="H16" i="37" s="1"/>
  <c r="H14" i="37"/>
  <c r="G14" i="37"/>
  <c r="C12" i="37"/>
  <c r="G11" i="37"/>
  <c r="H11" i="37" s="1"/>
  <c r="C11" i="37"/>
  <c r="C8" i="37"/>
  <c r="H2" i="37"/>
  <c r="H3" i="37" s="1"/>
  <c r="C19" i="37" l="1"/>
  <c r="C18" i="37"/>
  <c r="E29" i="39"/>
  <c r="E30" i="39"/>
  <c r="E31" i="39"/>
  <c r="E32" i="39"/>
  <c r="E33" i="39"/>
  <c r="E27" i="39"/>
  <c r="E13" i="39"/>
  <c r="E8" i="40"/>
  <c r="F8" i="40"/>
  <c r="C8" i="40"/>
  <c r="D8" i="40"/>
  <c r="E24" i="39"/>
  <c r="E8" i="39"/>
  <c r="E25" i="39"/>
  <c r="E9" i="39"/>
  <c r="E26" i="39"/>
  <c r="E11" i="39"/>
  <c r="E28" i="39"/>
  <c r="E12" i="39"/>
  <c r="E10" i="39"/>
  <c r="H18" i="37"/>
  <c r="H19" i="37"/>
  <c r="H31" i="37" s="1"/>
  <c r="E36" i="37"/>
  <c r="E37" i="37" s="1"/>
  <c r="E38" i="37" s="1"/>
  <c r="E39" i="37" s="1"/>
  <c r="E40" i="37" s="1"/>
  <c r="E41" i="37" s="1"/>
  <c r="H20" i="37" l="1"/>
  <c r="G23" i="37" s="1"/>
  <c r="G38" i="37" l="1"/>
  <c r="G37" i="37"/>
  <c r="G39" i="37"/>
  <c r="H23" i="37"/>
  <c r="H27" i="37" s="1"/>
  <c r="G40" i="37"/>
  <c r="G36" i="37"/>
  <c r="G41" i="37"/>
  <c r="E5" i="16"/>
  <c r="E32" i="16" l="1"/>
  <c r="E33" i="16"/>
  <c r="E34" i="16"/>
  <c r="E35" i="16"/>
  <c r="E36" i="16"/>
  <c r="E14" i="16"/>
  <c r="E37" i="16"/>
  <c r="E8" i="16"/>
  <c r="E26" i="16"/>
  <c r="E13" i="16"/>
  <c r="E9" i="16"/>
  <c r="H28" i="37"/>
  <c r="H29" i="37" s="1"/>
  <c r="H32" i="37" s="1"/>
  <c r="G16" i="28"/>
  <c r="F36" i="37" l="1"/>
  <c r="H36" i="37" s="1"/>
  <c r="F37" i="37" l="1"/>
  <c r="H37" i="37" s="1"/>
  <c r="C12" i="28"/>
  <c r="F38" i="37" l="1"/>
  <c r="H38" i="37" s="1"/>
  <c r="F39" i="37" l="1"/>
  <c r="H39" i="37" s="1"/>
  <c r="F40" i="37" l="1"/>
  <c r="F41" i="37" s="1"/>
  <c r="H41" i="37" s="1"/>
  <c r="H40" i="37" l="1"/>
  <c r="H19" i="28" l="1"/>
  <c r="H20" i="28"/>
  <c r="G30" i="28"/>
  <c r="H30" i="28" s="1"/>
  <c r="C30" i="28"/>
  <c r="G29" i="28"/>
  <c r="H29" i="28" s="1"/>
  <c r="C29" i="28"/>
  <c r="G28" i="28"/>
  <c r="H28" i="28" s="1"/>
  <c r="C28" i="28"/>
  <c r="C27" i="28"/>
  <c r="G17" i="28"/>
  <c r="H17" i="28" s="1"/>
  <c r="C17" i="28"/>
  <c r="H16" i="28"/>
  <c r="C16" i="28"/>
  <c r="H15" i="28"/>
  <c r="H14" i="28"/>
  <c r="G14" i="28"/>
  <c r="C14" i="28"/>
  <c r="G11" i="28"/>
  <c r="H11" i="28" s="1"/>
  <c r="C11" i="28"/>
  <c r="H2" i="28"/>
  <c r="H3" i="28" s="1"/>
  <c r="C23" i="28" l="1"/>
  <c r="C22" i="28"/>
  <c r="H22" i="28"/>
  <c r="H23" i="28"/>
  <c r="H21" i="28"/>
  <c r="E40" i="28"/>
  <c r="E41" i="28" s="1"/>
  <c r="E42" i="28" s="1"/>
  <c r="E43" i="28" s="1"/>
  <c r="E44" i="28" s="1"/>
  <c r="E45" i="28" s="1"/>
  <c r="H35" i="28" l="1"/>
  <c r="H24" i="28"/>
  <c r="G27" i="28" l="1"/>
  <c r="H27" i="28" s="1"/>
  <c r="H32" i="28" s="1"/>
  <c r="G43" i="28"/>
  <c r="G42" i="28"/>
  <c r="G41" i="28"/>
  <c r="G45" i="28"/>
  <c r="G40" i="28"/>
  <c r="G44" i="28"/>
  <c r="H31" i="28" l="1"/>
  <c r="H33" i="28" l="1"/>
  <c r="H36" i="28" s="1"/>
  <c r="F40" i="28" l="1"/>
  <c r="H40" i="28" s="1"/>
  <c r="F41" i="28" l="1"/>
  <c r="H41" i="28" s="1"/>
  <c r="F42" i="28" l="1"/>
  <c r="H42" i="28" s="1"/>
  <c r="F43" i="28" l="1"/>
  <c r="H43" i="28" s="1"/>
  <c r="F44" i="28" l="1"/>
  <c r="F45" i="28" s="1"/>
  <c r="H45" i="28" s="1"/>
  <c r="H44" i="28" l="1"/>
  <c r="E28" i="16" l="1"/>
  <c r="E29" i="16"/>
  <c r="E10" i="16"/>
  <c r="E31" i="16"/>
  <c r="E30" i="16"/>
  <c r="E27" i="16"/>
  <c r="E12" i="16"/>
  <c r="E11" i="16"/>
</calcChain>
</file>

<file path=xl/sharedStrings.xml><?xml version="1.0" encoding="utf-8"?>
<sst xmlns="http://schemas.openxmlformats.org/spreadsheetml/2006/main" count="761" uniqueCount="277">
  <si>
    <t>Proposal Date:</t>
  </si>
  <si>
    <t>Expires On:</t>
  </si>
  <si>
    <t>Enterprise Order Form</t>
  </si>
  <si>
    <t>[Partner Name]</t>
  </si>
  <si>
    <t>Partner Badge Level:</t>
  </si>
  <si>
    <t>SELECT</t>
  </si>
  <si>
    <t>Active Locations:</t>
  </si>
  <si>
    <t>System Setup Discount:</t>
  </si>
  <si>
    <t>Margin Discount:</t>
  </si>
  <si>
    <t>Package</t>
  </si>
  <si>
    <t>Description</t>
  </si>
  <si>
    <t>Qty</t>
  </si>
  <si>
    <t>Price</t>
  </si>
  <si>
    <t>Total</t>
  </si>
  <si>
    <t>SELECT Package</t>
  </si>
  <si>
    <t>Advanced Features</t>
  </si>
  <si>
    <t>AP Bill Pay</t>
  </si>
  <si>
    <t>AP Invoice Capture - ENT 1</t>
  </si>
  <si>
    <t>None</t>
  </si>
  <si>
    <t>per location items</t>
  </si>
  <si>
    <t>per instance items</t>
  </si>
  <si>
    <t>Base Price Per Location</t>
  </si>
  <si>
    <t>Subtotal</t>
  </si>
  <si>
    <t>Add-on Monthly Fees</t>
  </si>
  <si>
    <t>Partner Margin Discount</t>
  </si>
  <si>
    <t>Total Monthly Fees*</t>
  </si>
  <si>
    <t>Setup Fees &amp; Services</t>
  </si>
  <si>
    <t xml:space="preserve">Description </t>
  </si>
  <si>
    <t>Standard System Setup</t>
  </si>
  <si>
    <t>AP Bill Pay Setup</t>
  </si>
  <si>
    <t>Inventory Entry by R365</t>
  </si>
  <si>
    <t>Recipe Entry by R365</t>
  </si>
  <si>
    <t>Partner Services Discount</t>
  </si>
  <si>
    <t>Total One-Time Services Fees</t>
  </si>
  <si>
    <t xml:space="preserve">Partner Annual Savings </t>
  </si>
  <si>
    <t>Total Due Upon Signing</t>
  </si>
  <si>
    <t>Terms</t>
  </si>
  <si>
    <t>Payment Schedule (not including tax)</t>
  </si>
  <si>
    <t>Subscription Billing Delay:</t>
  </si>
  <si>
    <t>Bill Date</t>
  </si>
  <si>
    <t>Services</t>
  </si>
  <si>
    <t>Monthly</t>
  </si>
  <si>
    <t>Total Due</t>
  </si>
  <si>
    <t>Service Payments:</t>
  </si>
  <si>
    <t>Subscription Term:</t>
  </si>
  <si>
    <t xml:space="preserve">1 Year, Auto-Renewal </t>
  </si>
  <si>
    <t>Payment due on signature date monthly</t>
  </si>
  <si>
    <t>Delay period begins after initial payment</t>
  </si>
  <si>
    <t>*Monthly fees subject to annual increase</t>
  </si>
  <si>
    <t xml:space="preserve">Other Terms or Promotions: </t>
  </si>
  <si>
    <t>Partner Order Form</t>
  </si>
  <si>
    <t>Sections to be completed by Partner</t>
  </si>
  <si>
    <t>Client Information</t>
  </si>
  <si>
    <t xml:space="preserve">End Customer Name: </t>
  </si>
  <si>
    <t xml:space="preserve">POS System(s): </t>
  </si>
  <si>
    <t>Phone:</t>
  </si>
  <si>
    <t>Vendor Integrations:</t>
  </si>
  <si>
    <t>Street Address:</t>
  </si>
  <si>
    <t>Bank Names:</t>
  </si>
  <si>
    <t>City, State, Zip Code:</t>
  </si>
  <si>
    <t>Payroll Provider:</t>
  </si>
  <si>
    <t>Choose a name for the client's database. 3-20 letters or numbers. No special characters or spaces.</t>
  </si>
  <si>
    <t>Restaurant365 URL:</t>
  </si>
  <si>
    <t>https://</t>
  </si>
  <si>
    <t>[Database Name]</t>
  </si>
  <si>
    <t>.restaurant365.com</t>
  </si>
  <si>
    <t>Billing Information (One selection required)</t>
  </si>
  <si>
    <t>Billing Contact Name:</t>
  </si>
  <si>
    <t xml:space="preserve">Contact Email: </t>
  </si>
  <si>
    <t xml:space="preserve">Payment Type: ACH </t>
  </si>
  <si>
    <t>Payment Type: Credit Card (incurs 3% processing fee)</t>
  </si>
  <si>
    <t>Bank Name:</t>
  </si>
  <si>
    <t>Type of Card:</t>
  </si>
  <si>
    <t>Name on Account:</t>
  </si>
  <si>
    <t>Name on Card:</t>
  </si>
  <si>
    <t>Routing Number:</t>
  </si>
  <si>
    <t>Credit Card Number:</t>
  </si>
  <si>
    <t>Account Number:</t>
  </si>
  <si>
    <t>Expiration Date:</t>
  </si>
  <si>
    <t>mm/dd/yy</t>
  </si>
  <si>
    <t>Type of Account:</t>
  </si>
  <si>
    <t>CVV Code:</t>
  </si>
  <si>
    <t xml:space="preserve">Payment Type: Check </t>
  </si>
  <si>
    <t>Yes / No</t>
  </si>
  <si>
    <t>APPROVAL</t>
  </si>
  <si>
    <t>This order form is for a subscription to Restaurant365 and provided implementation services. Upon signature by Partner and submission, this order form shall become legally binding.The terms and conditions for this order are subject to the previously agreed upon terms and conditions by Restaurant365, LLC and the Partner noted below.</t>
  </si>
  <si>
    <t>Partner Name:</t>
  </si>
  <si>
    <t>Restaurant365</t>
  </si>
  <si>
    <t>Print Name:</t>
  </si>
  <si>
    <t>Title:</t>
  </si>
  <si>
    <t>Signature:</t>
  </si>
  <si>
    <t>Date:</t>
  </si>
  <si>
    <t>Promotional Features</t>
  </si>
  <si>
    <t>Delete row if not used</t>
  </si>
  <si>
    <t>Promotional Discount</t>
  </si>
  <si>
    <t>Select Location Qty</t>
  </si>
  <si>
    <t>1-5</t>
  </si>
  <si>
    <t>Channel Pricing and Features</t>
  </si>
  <si>
    <t>Partner Discount</t>
  </si>
  <si>
    <t>RESTAURANT FINANCIALS</t>
  </si>
  <si>
    <t>BASIC</t>
  </si>
  <si>
    <t>CORE</t>
  </si>
  <si>
    <t>ESSENTIAL</t>
  </si>
  <si>
    <t>PROFESSIONAL</t>
  </si>
  <si>
    <t>LIST  PRICE</t>
  </si>
  <si>
    <t>PARTNER PRICE</t>
  </si>
  <si>
    <t> Accounting</t>
  </si>
  <si>
    <t>Margin Assurance Program*</t>
  </si>
  <si>
    <t>GL/AP/AR</t>
  </si>
  <si>
    <t>●</t>
  </si>
  <si>
    <t>Location Qty</t>
  </si>
  <si>
    <t>Margin</t>
  </si>
  <si>
    <t>Bank Account Reconciliation</t>
  </si>
  <si>
    <t>Free Non-Restaurant Entities</t>
  </si>
  <si>
    <t>Financial Reporting</t>
  </si>
  <si>
    <t>6-25</t>
  </si>
  <si>
    <t>Advanced Security</t>
  </si>
  <si>
    <t>26-50</t>
  </si>
  <si>
    <t>Document Management</t>
  </si>
  <si>
    <t>51-100</t>
  </si>
  <si>
    <t>Mobile App</t>
  </si>
  <si>
    <t>--</t>
  </si>
  <si>
    <t>101-250</t>
  </si>
  <si>
    <t>Custom Financial Reporting</t>
  </si>
  <si>
    <t>Advanced Accounting Package
$79/location</t>
  </si>
  <si>
    <t>Choose CFR or Inventory</t>
  </si>
  <si>
    <t>251-400</t>
  </si>
  <si>
    <t>Fixed Asset Management</t>
  </si>
  <si>
    <t>400+</t>
  </si>
  <si>
    <t>Advanced Forecasting</t>
  </si>
  <si>
    <t>*Margin assurance is based on total active subscriptions billed directly to the partner</t>
  </si>
  <si>
    <t>Advanced Workflows</t>
  </si>
  <si>
    <t>Custom Password Rules</t>
  </si>
  <si>
    <t>Franchise Billing Management</t>
  </si>
  <si>
    <t>$299/database</t>
  </si>
  <si>
    <t>Franchise Polling</t>
  </si>
  <si>
    <t>$90/location</t>
  </si>
  <si>
    <t> AP Automation</t>
  </si>
  <si>
    <t>Automated Invoice Capture</t>
  </si>
  <si>
    <t>Starting at $99</t>
  </si>
  <si>
    <t>Automated Invoice Payments</t>
  </si>
  <si>
    <t>Per Transaction</t>
  </si>
  <si>
    <t> Operations</t>
  </si>
  <si>
    <t>Inventory Management</t>
  </si>
  <si>
    <t>Recipe Management</t>
  </si>
  <si>
    <t>Smart Prep</t>
  </si>
  <si>
    <t>Smart Ordering</t>
  </si>
  <si>
    <t>Catering</t>
  </si>
  <si>
    <t>Commissary</t>
  </si>
  <si>
    <t> Scheduling</t>
  </si>
  <si>
    <t>Online Scheduler</t>
  </si>
  <si>
    <t>Weather Forecasting</t>
  </si>
  <si>
    <t>Sales Forecasting</t>
  </si>
  <si>
    <t>Logbook</t>
  </si>
  <si>
    <t> Connect Integrations</t>
  </si>
  <si>
    <t>POS Connect Integration</t>
  </si>
  <si>
    <t>Bank Connect Integration</t>
  </si>
  <si>
    <t>Payroll Connect Integration</t>
  </si>
  <si>
    <t>API Connect Integration</t>
  </si>
  <si>
    <t>Vendor Connect Integration</t>
  </si>
  <si>
    <t>Included (w/ Inventory module)</t>
  </si>
  <si>
    <t> Ad-hoc Reporting</t>
  </si>
  <si>
    <t> Dashboards</t>
  </si>
  <si>
    <t> Budget/forecasts</t>
  </si>
  <si>
    <t>Standalone Products</t>
  </si>
  <si>
    <t>Scheduler365</t>
  </si>
  <si>
    <t>Scheduling, Labor Forecasts, Weather, Logbook, Free Mobile App (Non POS Integrated, per location)</t>
  </si>
  <si>
    <t>Scheduler365 - POS Integrated</t>
  </si>
  <si>
    <t>POS Int.Scheduling, Labor Forecasts, Weather, Logbook, Free Mobile App (per location)</t>
  </si>
  <si>
    <t>Inventory Management Module</t>
  </si>
  <si>
    <t>Item Cost Tracking, Expert Product Setup, COGs Tracking (per concept)</t>
  </si>
  <si>
    <t>Recipe Management Module</t>
  </si>
  <si>
    <t>Menu Recipe Costing, Optimized Recipe Profit, Ideal vs. Actual Usage (per concept)</t>
  </si>
  <si>
    <t xml:space="preserve">Inventory &amp; Recipe Management </t>
  </si>
  <si>
    <t>Item Cost Tracking, Expert Product Setup, COGS Tracking, Menu Recipe Costing, Ideal vs Actual Usage (per concept)</t>
  </si>
  <si>
    <t>Updated:</t>
  </si>
  <si>
    <t xml:space="preserve">Channel Partner Products </t>
  </si>
  <si>
    <t>List Price</t>
  </si>
  <si>
    <t>Partner Price</t>
  </si>
  <si>
    <t>Restaurant Financials</t>
  </si>
  <si>
    <t>GL/AP/AR Basics, Financial Reporting, Document Management (No integrations)</t>
  </si>
  <si>
    <t>Basic Package</t>
  </si>
  <si>
    <t>Restaurant Financials + POS Connect, Bank Connect, Payroll Connect</t>
  </si>
  <si>
    <t>Core Package</t>
  </si>
  <si>
    <t>Basic + Mobile App, Dashboards, Custom Financial Reports OR Inventory</t>
  </si>
  <si>
    <t>Essentials Package</t>
  </si>
  <si>
    <t>Core + Custom Financial Reports, Inventory, Scheduling, Manager Logbook, Vendor Connect, API Connect</t>
  </si>
  <si>
    <t xml:space="preserve">Professional Package </t>
  </si>
  <si>
    <t>Essentials + Fixed Assets, Custom Financial Reports, Workflows, Catering, Commissary</t>
  </si>
  <si>
    <t>Static Database / Historical Access</t>
  </si>
  <si>
    <t>Read-only access to static database w/out polling. Priced per month per database</t>
  </si>
  <si>
    <t>Visa Virtual Credit Card - Free
Checks $1.50 Each - ACH $0.50 Each</t>
  </si>
  <si>
    <t>Per
 Transaction</t>
  </si>
  <si>
    <t>AP Invoice Capture -Tier 1</t>
  </si>
  <si>
    <t>$99  for 120 Invoices/month, $0.99 per invoice overage</t>
  </si>
  <si>
    <t>AP Invoice Capture -Tier 2</t>
  </si>
  <si>
    <t>$198 for 240 Invoices/month, $0.99 per invoice overage</t>
  </si>
  <si>
    <t>AP Invoice Capture -Tier 3</t>
  </si>
  <si>
    <t>$297 for 360 Invoices/month, $0.99 per invoice overage</t>
  </si>
  <si>
    <t>$900 for 1000 Invoices/month, $0.99 per invoice overage</t>
  </si>
  <si>
    <t>AP Invoice Capture - ENT 2</t>
  </si>
  <si>
    <t>$2550 for 3000 Invoices/month, $0.99 per invoice overage</t>
  </si>
  <si>
    <t>AP Invoice Capture - ENT 3</t>
  </si>
  <si>
    <t>$4000 for 5000 Invoices/month, $0.99 per invoice overage</t>
  </si>
  <si>
    <t>AP Invoice Capture - ENT 4</t>
  </si>
  <si>
    <t>$5250  for 7000 Invoices/month, $0.99 per invoice overage</t>
  </si>
  <si>
    <t>Advanced 
Accounting Package</t>
  </si>
  <si>
    <t>Custom Financial Reports, Advanced Workflows, Fixed Assets, Advanced Forecasting, Advanced Period Close</t>
  </si>
  <si>
    <t>Franchising</t>
  </si>
  <si>
    <t>Franchise Accounting, Automated Royalty and Fixed Fee Billing, Financial Reporting (per instance)</t>
  </si>
  <si>
    <t>Franchise Auto Polling</t>
  </si>
  <si>
    <t>Franchise Polling in Native System (per location)</t>
  </si>
  <si>
    <t>Commissary and Order Management, Cut-off and Delivery Schedules (per instance)</t>
  </si>
  <si>
    <t>Event Management, Menu Management, Invoicing, Reporting, Event Costing (per instance)</t>
  </si>
  <si>
    <t>ENT Accounting Promo</t>
  </si>
  <si>
    <t>Custom Financial Reports, Advanced Workflows</t>
  </si>
  <si>
    <t xml:space="preserve">Setup Fees &amp; Services </t>
  </si>
  <si>
    <t>NA</t>
  </si>
  <si>
    <t>Setup, Onboarding, Training</t>
  </si>
  <si>
    <t>4X MRR</t>
  </si>
  <si>
    <t>Per instance</t>
  </si>
  <si>
    <t>POS Integration Swap</t>
  </si>
  <si>
    <t>Change of POS Integration</t>
  </si>
  <si>
    <t>POS Integration</t>
  </si>
  <si>
    <t>POS integration - each</t>
  </si>
  <si>
    <t>Per database instance</t>
  </si>
  <si>
    <t>Per concept</t>
  </si>
  <si>
    <t>Historical Data Import - POS Polling</t>
  </si>
  <si>
    <t>1 year check-level detail (per location)</t>
  </si>
  <si>
    <t>Historical Data Import - GL / JE</t>
  </si>
  <si>
    <t>GL Imports and Beginning Balances for 1 Legal Entity (per year)</t>
  </si>
  <si>
    <t>Additional Imports</t>
  </si>
  <si>
    <t>Ex: General Ledger, Vendors, Customers, Employees, etc.</t>
  </si>
  <si>
    <t>Additional Vendor Integration</t>
  </si>
  <si>
    <t xml:space="preserve">Setup additional Vendor Integration </t>
  </si>
  <si>
    <t>Build New POS Integration - API</t>
  </si>
  <si>
    <t>API POS - Custom Development</t>
  </si>
  <si>
    <t>Build New POS Integration - Non-API</t>
  </si>
  <si>
    <t>Non-API POS - Custom Development</t>
  </si>
  <si>
    <t>Scheduler365 Setup</t>
  </si>
  <si>
    <t>Setup for Standalone Scheduing Module</t>
  </si>
  <si>
    <t>Inventory Management Module Setup</t>
  </si>
  <si>
    <t>Setup for Standalone Inventory Management Module $4000 - $10,000 (per concept)</t>
  </si>
  <si>
    <t>Recipe Management Module Setup</t>
  </si>
  <si>
    <t>Setup for Standalone Recipe Management Module $4000 - $10,000 (per concept)</t>
  </si>
  <si>
    <t>System Wellness Check</t>
  </si>
  <si>
    <t>System Wellness Check and Best Practices Review – 1/2 day remote</t>
  </si>
  <si>
    <t>Accounting Training/Assistance - per Hour</t>
  </si>
  <si>
    <t>Additional accounting training/assistance</t>
  </si>
  <si>
    <t>Operations Training/Assistance - per Hour</t>
  </si>
  <si>
    <t>New Margins As of Jan 13, 2020</t>
  </si>
  <si>
    <t>Margin Assurance Program* (for Partners)</t>
  </si>
  <si>
    <t>Quarterly Rebate Program (for Resellers)</t>
  </si>
  <si>
    <t>Badge Status</t>
  </si>
  <si>
    <t>Setup Discount</t>
  </si>
  <si>
    <t xml:space="preserve">Trusted </t>
  </si>
  <si>
    <t>Bronze</t>
  </si>
  <si>
    <t>Silver</t>
  </si>
  <si>
    <t>Gold</t>
  </si>
  <si>
    <t>Platinum</t>
  </si>
  <si>
    <t>Core Options</t>
  </si>
  <si>
    <t>Discontinued Margins as of Jan 13, 2020</t>
  </si>
  <si>
    <t>Custom Financial Reports</t>
  </si>
  <si>
    <t xml:space="preserve">Margin Assurance Program </t>
  </si>
  <si>
    <t>1-25</t>
  </si>
  <si>
    <t>101-200</t>
  </si>
  <si>
    <t>201-300</t>
  </si>
  <si>
    <t>301-400</t>
  </si>
  <si>
    <t>Subscription Grace Period</t>
  </si>
  <si>
    <t>30 days</t>
  </si>
  <si>
    <t>60 days</t>
  </si>
  <si>
    <t>90 days</t>
  </si>
  <si>
    <t>Service Payment Installations</t>
  </si>
  <si>
    <t>Subscription Term</t>
  </si>
  <si>
    <t xml:space="preserve">Month-to-Month </t>
  </si>
  <si>
    <t>Payment Terms</t>
  </si>
  <si>
    <t>Net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</si>
</sst>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Red]\(&quot;$&quot;#,##0\)"/>
    <numFmt numFmtId="165" formatCode="_(&quot;$&quot;* #,##0.00_);_(&quot;$&quot;* \(#,##0.00\);_(&quot;$&quot;* &quot;-&quot;??_);_(@_)"/>
    <numFmt numFmtId="166" formatCode="_(&quot;$&quot;* #,##0_);_(&quot;$&quot;* \(#,##0\);_(&quot;$&quot;* &quot;-&quot;??_);_(@_)"/>
    <numFmt numFmtId="167" formatCode="_(&quot;$&quot;\ #,##0.00_);_(&quot;$&quot;\ \(#,##0.00\);_(&quot;$&quot;\ &quot;-&quot;??_);_(@_)"/>
    <numFmt numFmtId="168" formatCode="&quot;$&quot;#,##0.00"/>
    <numFmt numFmtId="169" formatCode="&quot;$&quot;#,##0"/>
  </numFmts>
  <fonts count="47">
    <font>
      <sz val="10"/>
      <color theme="1"/>
      <name val="Arial"/>
      <family val="2"/>
    </font>
    <font>
      <sz val="12"/>
      <color theme="1"/>
      <name val="Calibri"/>
      <family val="2"/>
      <scheme val="minor"/>
    </font>
    <font>
      <sz val="12"/>
      <color theme="1"/>
      <name val="Calibri"/>
      <family val="2"/>
      <scheme val="minor"/>
    </font>
    <font>
      <sz val="12"/>
      <color theme="1"/>
      <name val="Calibri"/>
      <family val="2"/>
      <scheme val="minor"/>
    </font>
    <font>
      <sz val="11"/>
      <color theme="0"/>
      <name val="Calibri"/>
      <family val="2"/>
      <scheme val="minor"/>
    </font>
    <font>
      <sz val="10"/>
      <color theme="1"/>
      <name val="Arial"/>
      <family val="2"/>
    </font>
    <font>
      <b/>
      <sz val="14"/>
      <color theme="1"/>
      <name val="Calibri"/>
      <family val="2"/>
      <scheme val="minor"/>
    </font>
    <font>
      <b/>
      <sz val="12"/>
      <color theme="0"/>
      <name val="Calibri"/>
      <family val="2"/>
      <scheme val="minor"/>
    </font>
    <font>
      <sz val="12"/>
      <name val="Calibri"/>
      <family val="2"/>
      <scheme val="minor"/>
    </font>
    <font>
      <b/>
      <sz val="14"/>
      <name val="Calibri"/>
      <family val="2"/>
      <scheme val="minor"/>
    </font>
    <font>
      <b/>
      <sz val="14"/>
      <color theme="0"/>
      <name val="Calibri"/>
      <family val="2"/>
      <scheme val="minor"/>
    </font>
    <font>
      <b/>
      <sz val="16"/>
      <color theme="0"/>
      <name val="Calibri"/>
      <family val="2"/>
      <scheme val="minor"/>
    </font>
    <font>
      <b/>
      <sz val="16"/>
      <color rgb="FFC00000"/>
      <name val="Calibri"/>
      <family val="2"/>
      <scheme val="minor"/>
    </font>
    <font>
      <b/>
      <sz val="16"/>
      <color theme="1"/>
      <name val="Calibri"/>
      <family val="2"/>
      <scheme val="minor"/>
    </font>
    <font>
      <sz val="11"/>
      <color theme="1"/>
      <name val="Calibri"/>
      <family val="2"/>
      <scheme val="minor"/>
    </font>
    <font>
      <sz val="14"/>
      <name val="Calibri"/>
      <family val="2"/>
      <scheme val="minor"/>
    </font>
    <font>
      <sz val="14"/>
      <color theme="1"/>
      <name val="Calibri"/>
      <family val="2"/>
      <scheme val="minor"/>
    </font>
    <font>
      <b/>
      <sz val="14"/>
      <color rgb="FFC00000"/>
      <name val="Calibri"/>
      <family val="2"/>
      <scheme val="minor"/>
    </font>
    <font>
      <sz val="14"/>
      <color theme="0"/>
      <name val="Calibri"/>
      <family val="2"/>
      <scheme val="minor"/>
    </font>
    <font>
      <b/>
      <sz val="22"/>
      <color theme="1"/>
      <name val="Calibri"/>
      <family val="2"/>
      <scheme val="minor"/>
    </font>
    <font>
      <b/>
      <sz val="18"/>
      <color theme="0"/>
      <name val="Calibri"/>
      <family val="2"/>
      <scheme val="minor"/>
    </font>
    <font>
      <sz val="12"/>
      <color theme="0"/>
      <name val="Calibri"/>
      <family val="2"/>
      <scheme val="minor"/>
    </font>
    <font>
      <b/>
      <sz val="16"/>
      <name val="Calibri"/>
      <family val="2"/>
      <scheme val="minor"/>
    </font>
    <font>
      <b/>
      <sz val="22"/>
      <color rgb="FFC00000"/>
      <name val="Calibri"/>
      <family val="2"/>
      <scheme val="minor"/>
    </font>
    <font>
      <sz val="14"/>
      <color rgb="FF000000"/>
      <name val="Calibri"/>
      <family val="2"/>
      <scheme val="minor"/>
    </font>
    <font>
      <sz val="14"/>
      <color rgb="FFC00000"/>
      <name val="Calibri"/>
      <family val="2"/>
      <scheme val="minor"/>
    </font>
    <font>
      <sz val="16"/>
      <color rgb="FFC00000"/>
      <name val="Calibri"/>
      <family val="2"/>
      <scheme val="minor"/>
    </font>
    <font>
      <sz val="16"/>
      <color rgb="FF000000"/>
      <name val="Calibri"/>
      <family val="2"/>
      <scheme val="minor"/>
    </font>
    <font>
      <b/>
      <sz val="18"/>
      <name val="Calibri"/>
      <family val="2"/>
      <scheme val="minor"/>
    </font>
    <font>
      <b/>
      <sz val="18"/>
      <color rgb="FFC00000"/>
      <name val="Calibri"/>
      <family val="2"/>
      <scheme val="minor"/>
    </font>
    <font>
      <b/>
      <sz val="18"/>
      <color theme="1"/>
      <name val="Calibri"/>
      <family val="2"/>
      <scheme val="minor"/>
    </font>
    <font>
      <sz val="8"/>
      <name val="Arial"/>
      <family val="2"/>
    </font>
    <font>
      <sz val="12"/>
      <color theme="1"/>
      <name val="Calibri"/>
      <family val="2"/>
    </font>
    <font>
      <sz val="16"/>
      <color theme="1"/>
      <name val="Calibri"/>
      <family val="2"/>
      <scheme val="minor"/>
    </font>
    <font>
      <b/>
      <sz val="16"/>
      <color rgb="FF000000"/>
      <name val="Calibri"/>
      <family val="2"/>
      <scheme val="minor"/>
    </font>
    <font>
      <sz val="14"/>
      <color theme="0" tint="-0.249977111117893"/>
      <name val="Calibri"/>
      <family val="2"/>
      <scheme val="minor"/>
    </font>
    <font>
      <sz val="12"/>
      <color rgb="FFFF0000"/>
      <name val="Calibri"/>
      <family val="2"/>
      <scheme val="minor"/>
    </font>
    <font>
      <b/>
      <i/>
      <sz val="12"/>
      <color rgb="FF000000"/>
      <name val="Calibri"/>
      <family val="2"/>
    </font>
    <font>
      <i/>
      <sz val="12"/>
      <color rgb="FF000000"/>
      <name val="Calibri"/>
      <family val="2"/>
    </font>
    <font>
      <b/>
      <i/>
      <sz val="12"/>
      <color theme="1"/>
      <name val="Calibri"/>
      <family val="2"/>
    </font>
    <font>
      <i/>
      <sz val="14"/>
      <name val="Calibri"/>
      <family val="2"/>
      <scheme val="minor"/>
    </font>
    <font>
      <b/>
      <sz val="24"/>
      <color theme="1"/>
      <name val="Calibri"/>
      <family val="2"/>
      <scheme val="minor"/>
    </font>
    <font>
      <sz val="12"/>
      <color rgb="FFFF0000"/>
      <name val="Calibri"/>
      <family val="2"/>
    </font>
    <font>
      <sz val="11"/>
      <color rgb="FF000000"/>
      <name val="Calibri"/>
      <family val="2"/>
    </font>
    <font>
      <sz val="12"/>
      <color rgb="FFC00000"/>
      <name val="Calibri"/>
      <family val="2"/>
      <scheme val="minor"/>
    </font>
    <font>
      <sz val="12"/>
      <color rgb="FFC00000"/>
      <name val="Calibri"/>
      <family val="2"/>
    </font>
    <font>
      <sz val="12"/>
      <color theme="1"/>
      <name val="Calibri (Body)"/>
    </font>
  </fonts>
  <fills count="9">
    <fill>
      <patternFill patternType="none"/>
    </fill>
    <fill>
      <patternFill patternType="gray125"/>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0" tint="-0.14999847407452621"/>
        <bgColor indexed="64"/>
      </patternFill>
    </fill>
    <fill>
      <patternFill patternType="solid">
        <fgColor indexed="9"/>
        <bgColor indexed="64"/>
      </patternFill>
    </fill>
    <fill>
      <patternFill patternType="solid">
        <fgColor theme="1"/>
        <bgColor theme="1"/>
      </patternFill>
    </fill>
    <fill>
      <patternFill patternType="solid">
        <fgColor rgb="FFD9D9D9"/>
        <bgColor indexed="64"/>
      </patternFill>
    </fill>
  </fills>
  <borders count="71">
    <border>
      <left/>
      <right/>
      <top/>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style="medium">
        <color auto="1"/>
      </left>
      <right/>
      <top/>
      <bottom/>
      <diagonal/>
    </border>
    <border>
      <left/>
      <right/>
      <top/>
      <bottom style="medium">
        <color auto="1"/>
      </bottom>
      <diagonal/>
    </border>
    <border>
      <left/>
      <right style="medium">
        <color auto="1"/>
      </right>
      <top/>
      <bottom style="thin">
        <color auto="1"/>
      </bottom>
      <diagonal/>
    </border>
    <border>
      <left/>
      <right/>
      <top style="medium">
        <color auto="1"/>
      </top>
      <bottom/>
      <diagonal/>
    </border>
    <border>
      <left/>
      <right style="medium">
        <color auto="1"/>
      </right>
      <top/>
      <bottom/>
      <diagonal/>
    </border>
    <border>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right style="medium">
        <color auto="1"/>
      </right>
      <top style="thin">
        <color auto="1"/>
      </top>
      <bottom/>
      <diagonal/>
    </border>
    <border>
      <left style="medium">
        <color auto="1"/>
      </left>
      <right/>
      <top style="thin">
        <color auto="1"/>
      </top>
      <bottom style="thin">
        <color auto="1"/>
      </bottom>
      <diagonal/>
    </border>
    <border>
      <left style="medium">
        <color auto="1"/>
      </left>
      <right/>
      <top/>
      <bottom style="thin">
        <color auto="1"/>
      </bottom>
      <diagonal/>
    </border>
    <border>
      <left/>
      <right style="medium">
        <color auto="1"/>
      </right>
      <top style="thin">
        <color auto="1"/>
      </top>
      <bottom style="thin">
        <color auto="1"/>
      </bottom>
      <diagonal/>
    </border>
    <border>
      <left style="medium">
        <color auto="1"/>
      </left>
      <right/>
      <top style="medium">
        <color auto="1"/>
      </top>
      <bottom/>
      <diagonal/>
    </border>
    <border>
      <left style="thin">
        <color auto="1"/>
      </left>
      <right/>
      <top style="thin">
        <color auto="1"/>
      </top>
      <bottom style="thin">
        <color auto="1"/>
      </bottom>
      <diagonal/>
    </border>
    <border>
      <left/>
      <right style="thin">
        <color auto="1"/>
      </right>
      <top style="thin">
        <color auto="1"/>
      </top>
      <bottom/>
      <diagonal/>
    </border>
    <border>
      <left/>
      <right style="medium">
        <color auto="1"/>
      </right>
      <top style="medium">
        <color auto="1"/>
      </top>
      <bottom/>
      <diagonal/>
    </border>
    <border>
      <left/>
      <right/>
      <top style="thin">
        <color theme="1"/>
      </top>
      <bottom/>
      <diagonal/>
    </border>
    <border>
      <left/>
      <right style="thin">
        <color theme="1"/>
      </right>
      <top style="thin">
        <color theme="1"/>
      </top>
      <bottom/>
      <diagonal/>
    </border>
    <border>
      <left style="thin">
        <color auto="1"/>
      </left>
      <right style="thin">
        <color auto="1"/>
      </right>
      <top/>
      <bottom style="thin">
        <color auto="1"/>
      </bottom>
      <diagonal/>
    </border>
    <border>
      <left/>
      <right/>
      <top style="thin">
        <color theme="1"/>
      </top>
      <bottom style="thin">
        <color theme="1"/>
      </bottom>
      <diagonal/>
    </border>
    <border>
      <left style="medium">
        <color theme="1"/>
      </left>
      <right/>
      <top/>
      <bottom/>
      <diagonal/>
    </border>
    <border>
      <left/>
      <right style="medium">
        <color theme="1"/>
      </right>
      <top/>
      <bottom/>
      <diagonal/>
    </border>
    <border>
      <left style="medium">
        <color theme="1"/>
      </left>
      <right/>
      <top style="thin">
        <color theme="1"/>
      </top>
      <bottom style="thin">
        <color theme="1"/>
      </bottom>
      <diagonal/>
    </border>
    <border>
      <left/>
      <right style="medium">
        <color theme="1"/>
      </right>
      <top style="thin">
        <color theme="1"/>
      </top>
      <bottom style="thin">
        <color theme="1"/>
      </bottom>
      <diagonal/>
    </border>
    <border>
      <left/>
      <right style="medium">
        <color theme="1"/>
      </right>
      <top/>
      <bottom style="thin">
        <color auto="1"/>
      </bottom>
      <diagonal/>
    </border>
    <border>
      <left/>
      <right style="medium">
        <color theme="1"/>
      </right>
      <top style="thin">
        <color auto="1"/>
      </top>
      <bottom style="thin">
        <color auto="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style="medium">
        <color theme="1"/>
      </bottom>
      <diagonal/>
    </border>
    <border>
      <left style="medium">
        <color auto="1"/>
      </left>
      <right/>
      <top style="medium">
        <color theme="1"/>
      </top>
      <bottom style="thin">
        <color theme="1"/>
      </bottom>
      <diagonal/>
    </border>
    <border>
      <left/>
      <right/>
      <top style="medium">
        <color theme="1"/>
      </top>
      <bottom style="thin">
        <color theme="1"/>
      </bottom>
      <diagonal/>
    </border>
    <border>
      <left/>
      <right style="medium">
        <color auto="1"/>
      </right>
      <top style="medium">
        <color theme="1"/>
      </top>
      <bottom style="thin">
        <color theme="1"/>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top style="medium">
        <color theme="1"/>
      </top>
      <bottom style="thin">
        <color theme="1"/>
      </bottom>
      <diagonal/>
    </border>
    <border>
      <left/>
      <right style="medium">
        <color theme="1"/>
      </right>
      <top style="medium">
        <color theme="1"/>
      </top>
      <bottom style="thin">
        <color theme="1"/>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top style="thin">
        <color theme="1"/>
      </top>
      <bottom style="thin">
        <color auto="1"/>
      </bottom>
      <diagonal/>
    </border>
    <border>
      <left/>
      <right/>
      <top/>
      <bottom style="thin">
        <color theme="1"/>
      </bottom>
      <diagonal/>
    </border>
    <border>
      <left style="medium">
        <color theme="1"/>
      </left>
      <right/>
      <top style="thin">
        <color theme="1"/>
      </top>
      <bottom/>
      <diagonal/>
    </border>
    <border>
      <left/>
      <right style="medium">
        <color theme="1"/>
      </right>
      <top style="thin">
        <color theme="1"/>
      </top>
      <bottom/>
      <diagonal/>
    </border>
    <border>
      <left/>
      <right/>
      <top style="thin">
        <color theme="1"/>
      </top>
      <bottom style="medium">
        <color auto="1"/>
      </bottom>
      <diagonal/>
    </border>
    <border>
      <left style="medium">
        <color auto="1"/>
      </left>
      <right/>
      <top style="medium">
        <color auto="1"/>
      </top>
      <bottom style="medium">
        <color theme="1"/>
      </bottom>
      <diagonal/>
    </border>
    <border>
      <left/>
      <right/>
      <top style="medium">
        <color auto="1"/>
      </top>
      <bottom style="medium">
        <color theme="1"/>
      </bottom>
      <diagonal/>
    </border>
    <border>
      <left/>
      <right style="medium">
        <color auto="1"/>
      </right>
      <top style="medium">
        <color auto="1"/>
      </top>
      <bottom style="medium">
        <color theme="1"/>
      </bottom>
      <diagonal/>
    </border>
    <border>
      <left style="thin">
        <color auto="1"/>
      </left>
      <right/>
      <top/>
      <bottom/>
      <diagonal/>
    </border>
    <border>
      <left style="thin">
        <color auto="1"/>
      </left>
      <right/>
      <top/>
      <bottom style="thin">
        <color auto="1"/>
      </bottom>
      <diagonal/>
    </border>
    <border>
      <left style="thin">
        <color auto="1"/>
      </left>
      <right/>
      <top style="thin">
        <color auto="1"/>
      </top>
      <bottom/>
      <diagonal/>
    </border>
    <border>
      <left/>
      <right style="thin">
        <color auto="1"/>
      </right>
      <top/>
      <bottom/>
      <diagonal/>
    </border>
    <border>
      <left/>
      <right style="thin">
        <color indexed="64"/>
      </right>
      <top style="thin">
        <color theme="1"/>
      </top>
      <bottom/>
      <diagonal/>
    </border>
    <border>
      <left/>
      <right style="thin">
        <color indexed="64"/>
      </right>
      <top style="thin">
        <color theme="1"/>
      </top>
      <bottom style="thin">
        <color indexed="64"/>
      </bottom>
      <diagonal/>
    </border>
    <border>
      <left style="thin">
        <color auto="1"/>
      </left>
      <right/>
      <top style="thin">
        <color theme="1"/>
      </top>
      <bottom/>
      <diagonal/>
    </border>
    <border>
      <left/>
      <right style="thin">
        <color auto="1"/>
      </right>
      <top/>
      <bottom style="thin">
        <color auto="1"/>
      </bottom>
      <diagonal/>
    </border>
    <border>
      <left style="medium">
        <color indexed="64"/>
      </left>
      <right/>
      <top style="thin">
        <color theme="1"/>
      </top>
      <bottom style="thin">
        <color theme="1"/>
      </bottom>
      <diagonal/>
    </border>
    <border>
      <left/>
      <right style="medium">
        <color indexed="64"/>
      </right>
      <top style="thin">
        <color theme="1"/>
      </top>
      <bottom style="thin">
        <color theme="1"/>
      </bottom>
      <diagonal/>
    </border>
    <border>
      <left style="medium">
        <color indexed="64"/>
      </left>
      <right/>
      <top/>
      <bottom style="thin">
        <color theme="1"/>
      </bottom>
      <diagonal/>
    </border>
    <border>
      <left/>
      <right style="medium">
        <color theme="1"/>
      </right>
      <top style="thin">
        <color theme="1"/>
      </top>
      <bottom style="thin">
        <color indexed="64"/>
      </bottom>
      <diagonal/>
    </border>
    <border>
      <left style="medium">
        <color theme="1"/>
      </left>
      <right/>
      <top style="medium">
        <color theme="1"/>
      </top>
      <bottom style="thin">
        <color indexed="64"/>
      </bottom>
      <diagonal/>
    </border>
    <border>
      <left/>
      <right/>
      <top style="medium">
        <color theme="1"/>
      </top>
      <bottom style="thin">
        <color indexed="64"/>
      </bottom>
      <diagonal/>
    </border>
    <border>
      <left/>
      <right style="medium">
        <color theme="1"/>
      </right>
      <top style="medium">
        <color theme="1"/>
      </top>
      <bottom style="thin">
        <color indexed="64"/>
      </bottom>
      <diagonal/>
    </border>
  </borders>
  <cellStyleXfs count="10">
    <xf numFmtId="0" fontId="0" fillId="0" borderId="0"/>
    <xf numFmtId="9" fontId="5" fillId="0" borderId="0" applyFont="0" applyFill="0" applyBorder="0" applyAlignment="0" applyProtection="0"/>
    <xf numFmtId="165" fontId="5" fillId="0" borderId="0" applyFont="0" applyFill="0" applyBorder="0" applyAlignment="0" applyProtection="0"/>
    <xf numFmtId="0" fontId="4" fillId="3" borderId="0" applyNumberFormat="0" applyBorder="0" applyAlignment="0" applyProtection="0"/>
    <xf numFmtId="0" fontId="14" fillId="0" borderId="0"/>
    <xf numFmtId="165" fontId="1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cellStyleXfs>
  <cellXfs count="369">
    <xf numFmtId="0" fontId="0" fillId="0" borderId="0" xfId="0"/>
    <xf numFmtId="0" fontId="4" fillId="2" borderId="0" xfId="4" applyFont="1" applyFill="1" applyAlignment="1" applyProtection="1">
      <alignment horizontal="center"/>
      <protection locked="0"/>
    </xf>
    <xf numFmtId="165" fontId="6" fillId="0" borderId="0" xfId="2" applyFont="1" applyFill="1" applyBorder="1" applyAlignment="1" applyProtection="1">
      <alignment horizontal="center"/>
      <protection locked="0"/>
    </xf>
    <xf numFmtId="0" fontId="11" fillId="4" borderId="0" xfId="4" applyFont="1" applyFill="1" applyProtection="1">
      <protection locked="0"/>
    </xf>
    <xf numFmtId="165" fontId="10" fillId="0" borderId="0" xfId="2" applyFont="1" applyFill="1" applyBorder="1" applyAlignment="1" applyProtection="1">
      <alignment horizontal="center"/>
      <protection locked="0"/>
    </xf>
    <xf numFmtId="0" fontId="20" fillId="4" borderId="0" xfId="4" applyFont="1" applyFill="1" applyProtection="1">
      <protection locked="0"/>
    </xf>
    <xf numFmtId="168" fontId="20" fillId="4" borderId="0" xfId="4" applyNumberFormat="1" applyFont="1" applyFill="1" applyAlignment="1" applyProtection="1">
      <alignment horizontal="right"/>
      <protection locked="0"/>
    </xf>
    <xf numFmtId="0" fontId="15" fillId="0" borderId="13" xfId="0" applyFont="1" applyBorder="1" applyAlignment="1" applyProtection="1">
      <alignment horizontal="center"/>
      <protection locked="0"/>
    </xf>
    <xf numFmtId="165" fontId="6" fillId="0" borderId="0" xfId="2" applyFont="1" applyFill="1" applyBorder="1" applyAlignment="1" applyProtection="1">
      <alignment horizontal="right"/>
      <protection locked="0"/>
    </xf>
    <xf numFmtId="165" fontId="6" fillId="0" borderId="21" xfId="2" applyFont="1" applyFill="1" applyBorder="1" applyAlignment="1" applyProtection="1">
      <alignment horizontal="left"/>
      <protection locked="0"/>
    </xf>
    <xf numFmtId="0" fontId="13" fillId="5" borderId="1" xfId="0" applyFont="1" applyFill="1" applyBorder="1" applyAlignment="1" applyProtection="1">
      <alignment horizontal="left"/>
      <protection locked="0"/>
    </xf>
    <xf numFmtId="0" fontId="13" fillId="5" borderId="3" xfId="0" applyFont="1" applyFill="1" applyBorder="1" applyAlignment="1" applyProtection="1">
      <alignment horizontal="center"/>
      <protection locked="0"/>
    </xf>
    <xf numFmtId="168" fontId="13" fillId="5" borderId="3" xfId="0" applyNumberFormat="1" applyFont="1" applyFill="1" applyBorder="1" applyAlignment="1" applyProtection="1">
      <alignment horizontal="center" wrapText="1"/>
      <protection locked="0"/>
    </xf>
    <xf numFmtId="168" fontId="13" fillId="5" borderId="10" xfId="0" applyNumberFormat="1" applyFont="1" applyFill="1" applyBorder="1" applyAlignment="1" applyProtection="1">
      <alignment horizontal="center"/>
      <protection locked="0"/>
    </xf>
    <xf numFmtId="0" fontId="16" fillId="2" borderId="17" xfId="0" applyFont="1" applyFill="1" applyBorder="1" applyAlignment="1" applyProtection="1">
      <alignment horizontal="left"/>
      <protection locked="0"/>
    </xf>
    <xf numFmtId="165" fontId="6" fillId="5" borderId="2" xfId="2" applyFont="1" applyFill="1" applyBorder="1" applyAlignment="1" applyProtection="1">
      <protection locked="0"/>
    </xf>
    <xf numFmtId="165" fontId="6" fillId="0" borderId="2" xfId="2" applyFont="1" applyFill="1" applyBorder="1" applyAlignment="1" applyProtection="1">
      <protection locked="0"/>
    </xf>
    <xf numFmtId="0" fontId="10" fillId="4" borderId="5" xfId="0" applyFont="1" applyFill="1" applyBorder="1" applyAlignment="1" applyProtection="1">
      <alignment horizontal="left" wrapText="1"/>
      <protection locked="0"/>
    </xf>
    <xf numFmtId="0" fontId="11" fillId="4" borderId="5" xfId="0" applyFont="1" applyFill="1" applyBorder="1" applyProtection="1">
      <protection locked="0"/>
    </xf>
    <xf numFmtId="168" fontId="11" fillId="4" borderId="5" xfId="0" applyNumberFormat="1" applyFont="1" applyFill="1" applyBorder="1" applyAlignment="1" applyProtection="1">
      <alignment horizontal="right"/>
      <protection locked="0"/>
    </xf>
    <xf numFmtId="0" fontId="6" fillId="5" borderId="0" xfId="0" applyFont="1" applyFill="1" applyProtection="1">
      <protection locked="0"/>
    </xf>
    <xf numFmtId="0" fontId="23" fillId="2" borderId="0" xfId="0" applyFont="1" applyFill="1" applyAlignment="1" applyProtection="1">
      <alignment horizontal="center" wrapText="1"/>
      <protection locked="0"/>
    </xf>
    <xf numFmtId="0" fontId="15" fillId="6" borderId="0" xfId="0" applyFont="1" applyFill="1" applyProtection="1">
      <protection locked="0"/>
    </xf>
    <xf numFmtId="0" fontId="9" fillId="6" borderId="0" xfId="0" applyFont="1" applyFill="1" applyAlignment="1" applyProtection="1">
      <alignment horizontal="left"/>
      <protection locked="0"/>
    </xf>
    <xf numFmtId="0" fontId="9" fillId="6" borderId="0" xfId="0" applyFont="1" applyFill="1" applyAlignment="1" applyProtection="1">
      <alignment horizontal="left" wrapText="1"/>
      <protection locked="0"/>
    </xf>
    <xf numFmtId="0" fontId="15" fillId="6" borderId="0" xfId="0" applyFont="1" applyFill="1" applyAlignment="1" applyProtection="1">
      <alignment horizontal="left"/>
      <protection locked="0"/>
    </xf>
    <xf numFmtId="0" fontId="15" fillId="0" borderId="0" xfId="0" applyFont="1" applyProtection="1">
      <protection locked="0"/>
    </xf>
    <xf numFmtId="0" fontId="15" fillId="0" borderId="0" xfId="0" applyFont="1" applyAlignment="1" applyProtection="1">
      <alignment horizontal="left"/>
      <protection locked="0"/>
    </xf>
    <xf numFmtId="0" fontId="17" fillId="5" borderId="2" xfId="0" applyFont="1" applyFill="1" applyBorder="1" applyAlignment="1" applyProtection="1">
      <alignment horizontal="center"/>
      <protection locked="0"/>
    </xf>
    <xf numFmtId="0" fontId="15" fillId="6" borderId="0" xfId="0" applyFont="1" applyFill="1" applyAlignment="1" applyProtection="1">
      <alignment horizontal="left" wrapText="1"/>
      <protection locked="0"/>
    </xf>
    <xf numFmtId="9" fontId="17" fillId="5" borderId="2" xfId="1" applyFont="1" applyFill="1" applyBorder="1" applyAlignment="1" applyProtection="1">
      <alignment horizontal="center"/>
      <protection locked="0"/>
    </xf>
    <xf numFmtId="9" fontId="17" fillId="0" borderId="0" xfId="1" applyFont="1" applyFill="1" applyBorder="1" applyAlignment="1" applyProtection="1">
      <alignment horizontal="center"/>
      <protection locked="0"/>
    </xf>
    <xf numFmtId="0" fontId="25" fillId="6" borderId="0" xfId="0" applyFont="1" applyFill="1" applyProtection="1">
      <protection locked="0"/>
    </xf>
    <xf numFmtId="0" fontId="18" fillId="4" borderId="11" xfId="0" applyFont="1" applyFill="1" applyBorder="1" applyAlignment="1" applyProtection="1">
      <alignment horizontal="left"/>
      <protection locked="0"/>
    </xf>
    <xf numFmtId="0" fontId="18" fillId="4" borderId="5" xfId="0" applyFont="1" applyFill="1" applyBorder="1" applyAlignment="1" applyProtection="1">
      <alignment horizontal="left" wrapText="1"/>
      <protection locked="0"/>
    </xf>
    <xf numFmtId="168" fontId="15" fillId="6" borderId="0" xfId="0" applyNumberFormat="1" applyFont="1" applyFill="1" applyAlignment="1" applyProtection="1">
      <alignment horizontal="right"/>
      <protection locked="0"/>
    </xf>
    <xf numFmtId="0" fontId="16" fillId="5" borderId="4" xfId="0" applyFont="1" applyFill="1" applyBorder="1" applyAlignment="1" applyProtection="1">
      <alignment horizontal="left"/>
      <protection locked="0"/>
    </xf>
    <xf numFmtId="0" fontId="16" fillId="5" borderId="0" xfId="0" applyFont="1" applyFill="1" applyAlignment="1" applyProtection="1">
      <alignment horizontal="left" wrapText="1"/>
      <protection locked="0"/>
    </xf>
    <xf numFmtId="0" fontId="18" fillId="4" borderId="0" xfId="0" applyFont="1" applyFill="1" applyAlignment="1" applyProtection="1">
      <alignment horizontal="left"/>
      <protection locked="0"/>
    </xf>
    <xf numFmtId="0" fontId="15" fillId="0" borderId="4" xfId="0" applyFont="1" applyBorder="1" applyAlignment="1" applyProtection="1">
      <alignment horizontal="left"/>
      <protection locked="0"/>
    </xf>
    <xf numFmtId="0" fontId="15" fillId="2" borderId="8" xfId="0" applyFont="1" applyFill="1" applyBorder="1" applyAlignment="1" applyProtection="1">
      <alignment horizontal="left"/>
      <protection locked="0"/>
    </xf>
    <xf numFmtId="0" fontId="15" fillId="0" borderId="0" xfId="0" applyFont="1" applyAlignment="1" applyProtection="1">
      <alignment horizontal="left" wrapText="1"/>
      <protection locked="0"/>
    </xf>
    <xf numFmtId="168" fontId="15" fillId="6" borderId="0" xfId="2" applyNumberFormat="1" applyFont="1" applyFill="1" applyBorder="1" applyAlignment="1" applyProtection="1">
      <alignment horizontal="right"/>
      <protection locked="0"/>
    </xf>
    <xf numFmtId="0" fontId="15" fillId="6" borderId="4" xfId="0" applyFont="1" applyFill="1" applyBorder="1" applyAlignment="1" applyProtection="1">
      <alignment horizontal="left"/>
      <protection locked="0"/>
    </xf>
    <xf numFmtId="168" fontId="15" fillId="6" borderId="0" xfId="0" applyNumberFormat="1" applyFont="1" applyFill="1" applyProtection="1">
      <protection locked="0"/>
    </xf>
    <xf numFmtId="0" fontId="15" fillId="6" borderId="8" xfId="0" applyFont="1" applyFill="1" applyBorder="1" applyProtection="1">
      <protection locked="0"/>
    </xf>
    <xf numFmtId="0" fontId="15" fillId="0" borderId="4" xfId="0" applyFont="1" applyBorder="1" applyProtection="1">
      <protection locked="0"/>
    </xf>
    <xf numFmtId="9" fontId="9" fillId="6" borderId="8" xfId="0" applyNumberFormat="1" applyFont="1" applyFill="1" applyBorder="1" applyAlignment="1" applyProtection="1">
      <alignment horizontal="left" wrapText="1"/>
      <protection locked="0"/>
    </xf>
    <xf numFmtId="0" fontId="15" fillId="6" borderId="11" xfId="0" applyFont="1" applyFill="1" applyBorder="1" applyAlignment="1" applyProtection="1">
      <alignment horizontal="left"/>
      <protection locked="0"/>
    </xf>
    <xf numFmtId="0" fontId="15" fillId="6" borderId="9" xfId="0" applyFont="1" applyFill="1" applyBorder="1" applyAlignment="1" applyProtection="1">
      <alignment horizontal="left" wrapText="1"/>
      <protection locked="0"/>
    </xf>
    <xf numFmtId="0" fontId="11" fillId="0" borderId="0" xfId="0" applyFont="1" applyAlignment="1" applyProtection="1">
      <alignment horizontal="center"/>
      <protection locked="0"/>
    </xf>
    <xf numFmtId="14" fontId="15" fillId="6" borderId="0" xfId="0" applyNumberFormat="1" applyFont="1" applyFill="1" applyAlignment="1" applyProtection="1">
      <alignment horizontal="right"/>
      <protection locked="0"/>
    </xf>
    <xf numFmtId="0" fontId="15" fillId="6" borderId="0" xfId="0" applyFont="1" applyFill="1" applyAlignment="1" applyProtection="1">
      <alignment horizontal="center" wrapText="1"/>
      <protection locked="0"/>
    </xf>
    <xf numFmtId="0" fontId="15" fillId="6" borderId="0" xfId="0" applyFont="1" applyFill="1" applyAlignment="1" applyProtection="1">
      <alignment horizontal="center"/>
      <protection locked="0"/>
    </xf>
    <xf numFmtId="0" fontId="16" fillId="0" borderId="0" xfId="0" applyFont="1" applyAlignment="1" applyProtection="1">
      <alignment horizontal="right"/>
      <protection locked="0"/>
    </xf>
    <xf numFmtId="0" fontId="25" fillId="0" borderId="0" xfId="0" applyFont="1" applyAlignment="1" applyProtection="1">
      <alignment horizontal="center"/>
      <protection locked="0"/>
    </xf>
    <xf numFmtId="0" fontId="24" fillId="0" borderId="0" xfId="0" applyFont="1" applyAlignment="1" applyProtection="1">
      <alignment horizontal="left" vertical="center"/>
      <protection locked="0"/>
    </xf>
    <xf numFmtId="0" fontId="22" fillId="6" borderId="0" xfId="0" applyFont="1" applyFill="1" applyAlignment="1" applyProtection="1">
      <alignment horizontal="left"/>
      <protection locked="0"/>
    </xf>
    <xf numFmtId="0" fontId="26" fillId="0" borderId="0" xfId="0" applyFont="1" applyAlignment="1" applyProtection="1">
      <alignment wrapText="1"/>
      <protection locked="0"/>
    </xf>
    <xf numFmtId="0" fontId="25" fillId="0" borderId="0" xfId="0" applyFont="1" applyAlignment="1" applyProtection="1">
      <alignment wrapText="1"/>
      <protection locked="0"/>
    </xf>
    <xf numFmtId="0" fontId="27" fillId="0" borderId="0" xfId="0" applyFont="1" applyProtection="1">
      <protection locked="0"/>
    </xf>
    <xf numFmtId="0" fontId="27" fillId="0" borderId="0" xfId="0" applyFont="1" applyAlignment="1" applyProtection="1">
      <alignment wrapText="1"/>
      <protection locked="0"/>
    </xf>
    <xf numFmtId="14" fontId="16" fillId="6" borderId="12" xfId="0" applyNumberFormat="1" applyFont="1" applyFill="1" applyBorder="1" applyAlignment="1">
      <alignment horizontal="center"/>
    </xf>
    <xf numFmtId="14" fontId="16" fillId="2" borderId="13" xfId="4" applyNumberFormat="1" applyFont="1" applyFill="1" applyBorder="1" applyAlignment="1">
      <alignment horizontal="center"/>
    </xf>
    <xf numFmtId="9" fontId="17" fillId="0" borderId="2" xfId="1" applyFont="1" applyFill="1" applyBorder="1" applyAlignment="1" applyProtection="1">
      <alignment horizontal="center"/>
    </xf>
    <xf numFmtId="9" fontId="17" fillId="0" borderId="26" xfId="1" applyFont="1" applyFill="1" applyBorder="1" applyAlignment="1" applyProtection="1">
      <alignment horizontal="center"/>
    </xf>
    <xf numFmtId="0" fontId="25" fillId="6" borderId="0" xfId="0" applyFont="1" applyFill="1"/>
    <xf numFmtId="168" fontId="15" fillId="6" borderId="6" xfId="2" applyNumberFormat="1" applyFont="1" applyFill="1" applyBorder="1" applyAlignment="1" applyProtection="1">
      <alignment horizontal="right"/>
    </xf>
    <xf numFmtId="168" fontId="15" fillId="6" borderId="12" xfId="2" applyNumberFormat="1" applyFont="1" applyFill="1" applyBorder="1" applyAlignment="1" applyProtection="1">
      <alignment horizontal="center" wrapText="1"/>
    </xf>
    <xf numFmtId="168" fontId="11" fillId="4" borderId="9" xfId="2" applyNumberFormat="1" applyFont="1" applyFill="1" applyBorder="1" applyAlignment="1" applyProtection="1">
      <alignment horizontal="right"/>
    </xf>
    <xf numFmtId="168" fontId="20" fillId="4" borderId="0" xfId="5" applyNumberFormat="1" applyFont="1" applyFill="1" applyBorder="1" applyAlignment="1" applyProtection="1">
      <alignment horizontal="right"/>
    </xf>
    <xf numFmtId="14" fontId="15" fillId="6" borderId="4" xfId="0" applyNumberFormat="1" applyFont="1" applyFill="1" applyBorder="1" applyAlignment="1">
      <alignment horizontal="right"/>
    </xf>
    <xf numFmtId="168" fontId="15" fillId="6" borderId="0" xfId="2" applyNumberFormat="1" applyFont="1" applyFill="1" applyBorder="1" applyAlignment="1" applyProtection="1">
      <alignment horizontal="right"/>
    </xf>
    <xf numFmtId="168" fontId="15" fillId="6" borderId="0" xfId="0" applyNumberFormat="1" applyFont="1" applyFill="1" applyAlignment="1">
      <alignment horizontal="right" wrapText="1"/>
    </xf>
    <xf numFmtId="168" fontId="15" fillId="6" borderId="8" xfId="0" applyNumberFormat="1" applyFont="1" applyFill="1" applyBorder="1" applyAlignment="1">
      <alignment horizontal="right"/>
    </xf>
    <xf numFmtId="168" fontId="15" fillId="6" borderId="0" xfId="0" applyNumberFormat="1" applyFont="1" applyFill="1"/>
    <xf numFmtId="14" fontId="15" fillId="6" borderId="11" xfId="0" applyNumberFormat="1" applyFont="1" applyFill="1" applyBorder="1" applyAlignment="1">
      <alignment horizontal="right"/>
    </xf>
    <xf numFmtId="168" fontId="15" fillId="6" borderId="5" xfId="2" applyNumberFormat="1" applyFont="1" applyFill="1" applyBorder="1" applyAlignment="1" applyProtection="1">
      <alignment horizontal="right"/>
    </xf>
    <xf numFmtId="168" fontId="15" fillId="6" borderId="5" xfId="0" applyNumberFormat="1" applyFont="1" applyFill="1" applyBorder="1"/>
    <xf numFmtId="168" fontId="15" fillId="6" borderId="9" xfId="0" applyNumberFormat="1" applyFont="1" applyFill="1" applyBorder="1" applyAlignment="1">
      <alignment horizontal="right"/>
    </xf>
    <xf numFmtId="0" fontId="16" fillId="2" borderId="18" xfId="0" applyFont="1" applyFill="1" applyBorder="1" applyAlignment="1">
      <alignment horizontal="left"/>
    </xf>
    <xf numFmtId="0" fontId="15" fillId="6" borderId="12" xfId="2" applyNumberFormat="1" applyFont="1" applyFill="1" applyBorder="1" applyAlignment="1" applyProtection="1">
      <alignment horizontal="center"/>
      <protection locked="0"/>
    </xf>
    <xf numFmtId="0" fontId="15" fillId="2" borderId="8" xfId="0" applyFont="1" applyFill="1" applyBorder="1" applyAlignment="1" applyProtection="1">
      <alignment horizontal="left" wrapText="1"/>
      <protection locked="0"/>
    </xf>
    <xf numFmtId="0" fontId="6" fillId="5" borderId="37" xfId="4" applyFont="1" applyFill="1" applyBorder="1" applyAlignment="1" applyProtection="1">
      <alignment horizontal="center"/>
      <protection locked="0"/>
    </xf>
    <xf numFmtId="0" fontId="9" fillId="5" borderId="38" xfId="0" applyFont="1" applyFill="1" applyBorder="1" applyAlignment="1" applyProtection="1">
      <alignment horizontal="center"/>
      <protection locked="0"/>
    </xf>
    <xf numFmtId="0" fontId="9" fillId="5" borderId="38" xfId="0" applyFont="1" applyFill="1" applyBorder="1" applyAlignment="1" applyProtection="1">
      <alignment horizontal="center" wrapText="1"/>
      <protection locked="0"/>
    </xf>
    <xf numFmtId="0" fontId="9" fillId="5" borderId="39" xfId="0" applyFont="1" applyFill="1" applyBorder="1" applyAlignment="1" applyProtection="1">
      <alignment horizontal="center"/>
      <protection locked="0"/>
    </xf>
    <xf numFmtId="0" fontId="16" fillId="2" borderId="28" xfId="0" applyFont="1" applyFill="1" applyBorder="1" applyProtection="1">
      <protection locked="0"/>
    </xf>
    <xf numFmtId="0" fontId="15" fillId="6" borderId="29" xfId="0" applyFont="1" applyFill="1" applyBorder="1" applyAlignment="1" applyProtection="1">
      <alignment horizontal="center"/>
      <protection locked="0"/>
    </xf>
    <xf numFmtId="0" fontId="15" fillId="0" borderId="28" xfId="0" applyFont="1" applyBorder="1" applyAlignment="1" applyProtection="1">
      <alignment horizontal="left"/>
      <protection locked="0"/>
    </xf>
    <xf numFmtId="0" fontId="15" fillId="0" borderId="29" xfId="0" applyFont="1" applyBorder="1" applyAlignment="1" applyProtection="1">
      <alignment horizontal="left"/>
      <protection locked="0"/>
    </xf>
    <xf numFmtId="0" fontId="9" fillId="6" borderId="45" xfId="0" applyFont="1" applyFill="1" applyBorder="1" applyAlignment="1" applyProtection="1">
      <alignment horizontal="left"/>
      <protection locked="0"/>
    </xf>
    <xf numFmtId="0" fontId="15" fillId="6" borderId="46" xfId="0" applyFont="1" applyFill="1" applyBorder="1" applyAlignment="1" applyProtection="1">
      <alignment horizontal="left" wrapText="1"/>
      <protection locked="0"/>
    </xf>
    <xf numFmtId="0" fontId="24" fillId="0" borderId="46" xfId="0" applyFont="1" applyBorder="1" applyAlignment="1" applyProtection="1">
      <alignment horizontal="left" vertical="center"/>
      <protection locked="0"/>
    </xf>
    <xf numFmtId="0" fontId="15" fillId="6" borderId="46" xfId="0" applyFont="1" applyFill="1" applyBorder="1" applyProtection="1">
      <protection locked="0"/>
    </xf>
    <xf numFmtId="0" fontId="15" fillId="6" borderId="47" xfId="0" applyFont="1" applyFill="1" applyBorder="1" applyProtection="1">
      <protection locked="0"/>
    </xf>
    <xf numFmtId="0" fontId="15" fillId="6" borderId="28" xfId="0" applyFont="1" applyFill="1" applyBorder="1" applyAlignment="1" applyProtection="1">
      <alignment horizontal="right"/>
      <protection locked="0"/>
    </xf>
    <xf numFmtId="0" fontId="16" fillId="0" borderId="28" xfId="0" applyFont="1" applyBorder="1" applyAlignment="1" applyProtection="1">
      <alignment horizontal="right"/>
      <protection locked="0"/>
    </xf>
    <xf numFmtId="0" fontId="15" fillId="0" borderId="28" xfId="0" applyFont="1" applyBorder="1" applyAlignment="1" applyProtection="1">
      <alignment horizontal="right"/>
      <protection locked="0"/>
    </xf>
    <xf numFmtId="0" fontId="18" fillId="5" borderId="0" xfId="0" applyFont="1" applyFill="1" applyAlignment="1" applyProtection="1">
      <alignment horizontal="left"/>
      <protection locked="0"/>
    </xf>
    <xf numFmtId="0" fontId="11" fillId="5" borderId="0" xfId="4" applyFont="1" applyFill="1" applyProtection="1">
      <protection locked="0"/>
    </xf>
    <xf numFmtId="0" fontId="20" fillId="5" borderId="0" xfId="4" applyFont="1" applyFill="1" applyProtection="1">
      <protection locked="0"/>
    </xf>
    <xf numFmtId="168" fontId="29" fillId="5" borderId="0" xfId="5" applyNumberFormat="1" applyFont="1" applyFill="1" applyBorder="1" applyAlignment="1" applyProtection="1">
      <alignment horizontal="right"/>
    </xf>
    <xf numFmtId="168" fontId="30" fillId="5" borderId="0" xfId="4" applyNumberFormat="1" applyFont="1" applyFill="1" applyAlignment="1" applyProtection="1">
      <alignment horizontal="right"/>
      <protection locked="0"/>
    </xf>
    <xf numFmtId="0" fontId="15" fillId="0" borderId="49" xfId="0" applyFont="1" applyBorder="1" applyAlignment="1" applyProtection="1">
      <alignment horizontal="center"/>
      <protection locked="0"/>
    </xf>
    <xf numFmtId="0" fontId="8" fillId="0" borderId="0" xfId="0" applyFont="1"/>
    <xf numFmtId="166" fontId="8" fillId="0" borderId="22" xfId="2" applyNumberFormat="1" applyFont="1" applyBorder="1" applyAlignment="1" applyProtection="1">
      <alignment horizontal="left"/>
    </xf>
    <xf numFmtId="166" fontId="8" fillId="0" borderId="60" xfId="2" applyNumberFormat="1" applyFont="1" applyBorder="1" applyAlignment="1" applyProtection="1">
      <alignment horizontal="left"/>
    </xf>
    <xf numFmtId="166" fontId="8" fillId="0" borderId="61" xfId="2" applyNumberFormat="1" applyFont="1" applyBorder="1" applyAlignment="1" applyProtection="1">
      <alignment horizontal="left"/>
    </xf>
    <xf numFmtId="0" fontId="10" fillId="7" borderId="24" xfId="0" applyFont="1" applyFill="1" applyBorder="1" applyAlignment="1">
      <alignment horizontal="center"/>
    </xf>
    <xf numFmtId="169" fontId="15" fillId="6" borderId="13" xfId="2" applyNumberFormat="1" applyFont="1" applyFill="1" applyBorder="1" applyAlignment="1" applyProtection="1">
      <alignment horizontal="right"/>
    </xf>
    <xf numFmtId="169" fontId="15" fillId="6" borderId="6" xfId="2" applyNumberFormat="1" applyFont="1" applyFill="1" applyBorder="1" applyAlignment="1" applyProtection="1">
      <alignment horizontal="right"/>
    </xf>
    <xf numFmtId="169" fontId="15" fillId="6" borderId="19" xfId="2" applyNumberFormat="1" applyFont="1" applyFill="1" applyBorder="1" applyAlignment="1" applyProtection="1">
      <alignment horizontal="right"/>
    </xf>
    <xf numFmtId="165" fontId="6" fillId="5" borderId="27" xfId="2" applyFont="1" applyFill="1" applyBorder="1" applyAlignment="1" applyProtection="1">
      <protection locked="0"/>
    </xf>
    <xf numFmtId="168" fontId="6" fillId="5" borderId="0" xfId="0" applyNumberFormat="1" applyFont="1" applyFill="1" applyAlignment="1" applyProtection="1">
      <alignment horizontal="right"/>
      <protection locked="0"/>
    </xf>
    <xf numFmtId="0" fontId="15" fillId="0" borderId="7" xfId="0" applyFont="1" applyBorder="1" applyAlignment="1" applyProtection="1">
      <alignment horizontal="center"/>
      <protection locked="0"/>
    </xf>
    <xf numFmtId="165" fontId="6" fillId="5" borderId="64" xfId="2" applyFont="1" applyFill="1" applyBorder="1" applyAlignment="1" applyProtection="1">
      <protection locked="0"/>
    </xf>
    <xf numFmtId="165" fontId="6" fillId="5" borderId="65" xfId="2" applyFont="1" applyFill="1" applyBorder="1" applyAlignment="1" applyProtection="1">
      <protection locked="0"/>
    </xf>
    <xf numFmtId="0" fontId="15" fillId="6" borderId="18" xfId="0" applyFont="1" applyFill="1" applyBorder="1" applyAlignment="1">
      <alignment horizontal="left"/>
    </xf>
    <xf numFmtId="0" fontId="15" fillId="6" borderId="17" xfId="0" applyFont="1" applyFill="1" applyBorder="1" applyAlignment="1" applyProtection="1">
      <alignment horizontal="left"/>
      <protection locked="0"/>
    </xf>
    <xf numFmtId="168" fontId="6" fillId="5" borderId="19" xfId="2" applyNumberFormat="1" applyFont="1" applyFill="1" applyBorder="1" applyAlignment="1" applyProtection="1">
      <alignment horizontal="right"/>
    </xf>
    <xf numFmtId="165" fontId="13" fillId="5" borderId="1" xfId="2" applyFont="1" applyFill="1" applyBorder="1" applyAlignment="1" applyProtection="1">
      <alignment horizontal="left"/>
      <protection locked="0"/>
    </xf>
    <xf numFmtId="165" fontId="13" fillId="5" borderId="3" xfId="2" applyFont="1" applyFill="1" applyBorder="1" applyAlignment="1" applyProtection="1">
      <alignment horizontal="center"/>
      <protection locked="0"/>
    </xf>
    <xf numFmtId="0" fontId="13" fillId="5" borderId="3" xfId="0" applyFont="1" applyFill="1" applyBorder="1" applyAlignment="1" applyProtection="1">
      <alignment horizontal="center" wrapText="1"/>
      <protection locked="0"/>
    </xf>
    <xf numFmtId="165" fontId="13" fillId="5" borderId="10" xfId="2" applyFont="1" applyFill="1" applyBorder="1" applyAlignment="1" applyProtection="1">
      <alignment horizontal="center"/>
      <protection locked="0"/>
    </xf>
    <xf numFmtId="168" fontId="17" fillId="5" borderId="8" xfId="2" applyNumberFormat="1" applyFont="1" applyFill="1" applyBorder="1" applyAlignment="1" applyProtection="1">
      <alignment horizontal="right"/>
    </xf>
    <xf numFmtId="168" fontId="6" fillId="5" borderId="16" xfId="2" applyNumberFormat="1" applyFont="1" applyFill="1" applyBorder="1" applyAlignment="1" applyProtection="1">
      <alignment horizontal="right"/>
    </xf>
    <xf numFmtId="168" fontId="17" fillId="5" borderId="16" xfId="2" applyNumberFormat="1" applyFont="1" applyFill="1" applyBorder="1" applyAlignment="1" applyProtection="1">
      <alignment horizontal="right"/>
    </xf>
    <xf numFmtId="165" fontId="6" fillId="5" borderId="13" xfId="2" applyFont="1" applyFill="1" applyBorder="1" applyAlignment="1" applyProtection="1">
      <protection locked="0"/>
    </xf>
    <xf numFmtId="168" fontId="17" fillId="5" borderId="19" xfId="2" applyNumberFormat="1" applyFont="1" applyFill="1" applyBorder="1" applyAlignment="1" applyProtection="1">
      <alignment horizontal="right"/>
    </xf>
    <xf numFmtId="165" fontId="6" fillId="5" borderId="17" xfId="2" applyFont="1" applyFill="1" applyBorder="1" applyAlignment="1" applyProtection="1">
      <protection locked="0"/>
    </xf>
    <xf numFmtId="165" fontId="6" fillId="5" borderId="19" xfId="2" applyFont="1" applyFill="1" applyBorder="1" applyAlignment="1" applyProtection="1">
      <protection locked="0"/>
    </xf>
    <xf numFmtId="0" fontId="25" fillId="6" borderId="12" xfId="0" applyFont="1" applyFill="1" applyBorder="1" applyAlignment="1" applyProtection="1">
      <alignment horizontal="left"/>
      <protection locked="0"/>
    </xf>
    <xf numFmtId="0" fontId="0" fillId="0" borderId="0" xfId="0" applyProtection="1">
      <protection locked="0"/>
    </xf>
    <xf numFmtId="0" fontId="15" fillId="0" borderId="12" xfId="0" applyFont="1" applyBorder="1" applyAlignment="1" applyProtection="1">
      <alignment horizontal="center"/>
      <protection locked="0"/>
    </xf>
    <xf numFmtId="0" fontId="9" fillId="6" borderId="0" xfId="0" applyFont="1" applyFill="1" applyAlignment="1" applyProtection="1">
      <alignment horizontal="left" vertical="top"/>
      <protection locked="0"/>
    </xf>
    <xf numFmtId="0" fontId="16" fillId="2" borderId="17" xfId="0" applyFont="1" applyFill="1" applyBorder="1" applyAlignment="1">
      <alignment horizontal="left"/>
    </xf>
    <xf numFmtId="0" fontId="15" fillId="6" borderId="66" xfId="0" applyFont="1" applyFill="1" applyBorder="1" applyAlignment="1" applyProtection="1">
      <alignment horizontal="left"/>
      <protection locked="0"/>
    </xf>
    <xf numFmtId="169" fontId="15" fillId="6" borderId="65" xfId="2" applyNumberFormat="1" applyFont="1" applyFill="1" applyBorder="1" applyAlignment="1" applyProtection="1"/>
    <xf numFmtId="169" fontId="15" fillId="6" borderId="12" xfId="2" applyNumberFormat="1" applyFont="1" applyFill="1" applyBorder="1" applyAlignment="1" applyProtection="1">
      <alignment horizontal="right"/>
    </xf>
    <xf numFmtId="0" fontId="8" fillId="0" borderId="0" xfId="0" applyFont="1" applyAlignment="1">
      <alignment horizontal="right"/>
    </xf>
    <xf numFmtId="14" fontId="8" fillId="0" borderId="0" xfId="0" applyNumberFormat="1" applyFont="1"/>
    <xf numFmtId="0" fontId="16" fillId="0" borderId="0" xfId="0" applyFont="1" applyAlignment="1">
      <alignment horizontal="center"/>
    </xf>
    <xf numFmtId="0" fontId="10" fillId="4" borderId="22" xfId="0" applyFont="1" applyFill="1" applyBorder="1" applyAlignment="1">
      <alignment horizontal="center" vertical="center" wrapText="1"/>
    </xf>
    <xf numFmtId="0" fontId="8" fillId="0" borderId="59" xfId="0" applyFont="1" applyBorder="1"/>
    <xf numFmtId="0" fontId="8" fillId="0" borderId="63" xfId="0" applyFont="1" applyBorder="1"/>
    <xf numFmtId="0" fontId="28" fillId="0" borderId="0" xfId="0" applyFont="1" applyProtection="1">
      <protection locked="0"/>
    </xf>
    <xf numFmtId="0" fontId="22" fillId="0" borderId="48" xfId="0" applyFont="1" applyBorder="1" applyAlignment="1" applyProtection="1">
      <alignment horizontal="left"/>
      <protection locked="0"/>
    </xf>
    <xf numFmtId="0" fontId="22" fillId="0" borderId="67" xfId="0" applyFont="1" applyBorder="1" applyAlignment="1" applyProtection="1">
      <alignment horizontal="left"/>
      <protection locked="0"/>
    </xf>
    <xf numFmtId="0" fontId="9" fillId="6" borderId="48" xfId="0" applyFont="1" applyFill="1" applyBorder="1" applyProtection="1">
      <protection locked="0"/>
    </xf>
    <xf numFmtId="0" fontId="9" fillId="6" borderId="24" xfId="0" applyFont="1" applyFill="1" applyBorder="1" applyProtection="1">
      <protection locked="0"/>
    </xf>
    <xf numFmtId="0" fontId="9" fillId="0" borderId="50" xfId="0" applyFont="1" applyBorder="1" applyAlignment="1" applyProtection="1">
      <alignment horizontal="right"/>
      <protection locked="0"/>
    </xf>
    <xf numFmtId="0" fontId="9" fillId="0" borderId="48" xfId="0" applyFont="1" applyBorder="1" applyAlignment="1" applyProtection="1">
      <alignment horizontal="left"/>
      <protection locked="0"/>
    </xf>
    <xf numFmtId="0" fontId="9" fillId="0" borderId="24" xfId="0" applyFont="1" applyBorder="1" applyAlignment="1" applyProtection="1">
      <alignment horizontal="right"/>
      <protection locked="0"/>
    </xf>
    <xf numFmtId="166" fontId="8" fillId="0" borderId="24" xfId="2" applyNumberFormat="1" applyFont="1" applyFill="1" applyBorder="1" applyAlignment="1" applyProtection="1">
      <alignment horizontal="left"/>
    </xf>
    <xf numFmtId="166" fontId="8" fillId="0" borderId="24" xfId="2" applyNumberFormat="1" applyFont="1" applyBorder="1" applyAlignment="1" applyProtection="1">
      <alignment horizontal="left"/>
    </xf>
    <xf numFmtId="169" fontId="15" fillId="6" borderId="12" xfId="2" applyNumberFormat="1" applyFont="1" applyFill="1" applyBorder="1" applyAlignment="1" applyProtection="1">
      <alignment vertical="center"/>
    </xf>
    <xf numFmtId="169" fontId="15" fillId="6" borderId="7" xfId="2" applyNumberFormat="1" applyFont="1" applyFill="1" applyBorder="1" applyAlignment="1" applyProtection="1"/>
    <xf numFmtId="169" fontId="15" fillId="6" borderId="6" xfId="2" applyNumberFormat="1" applyFont="1" applyFill="1" applyBorder="1" applyAlignment="1" applyProtection="1">
      <alignment vertical="center"/>
    </xf>
    <xf numFmtId="0" fontId="15" fillId="0" borderId="12" xfId="0" applyFont="1" applyBorder="1" applyAlignment="1" applyProtection="1">
      <alignment vertical="center"/>
      <protection locked="0"/>
    </xf>
    <xf numFmtId="169" fontId="15" fillId="6" borderId="23" xfId="2" applyNumberFormat="1" applyFont="1" applyFill="1" applyBorder="1" applyAlignment="1" applyProtection="1"/>
    <xf numFmtId="169" fontId="15" fillId="6" borderId="12" xfId="2" applyNumberFormat="1" applyFont="1" applyFill="1" applyBorder="1" applyAlignment="1" applyProtection="1"/>
    <xf numFmtId="169" fontId="15" fillId="6" borderId="6" xfId="2" applyNumberFormat="1" applyFont="1" applyFill="1" applyBorder="1" applyAlignment="1" applyProtection="1"/>
    <xf numFmtId="0" fontId="15" fillId="6" borderId="17" xfId="0" applyFont="1" applyFill="1" applyBorder="1" applyAlignment="1" applyProtection="1">
      <alignment horizontal="left" wrapText="1"/>
      <protection locked="0"/>
    </xf>
    <xf numFmtId="166" fontId="8" fillId="0" borderId="14" xfId="0" applyNumberFormat="1" applyFont="1" applyBorder="1"/>
    <xf numFmtId="0" fontId="25" fillId="6" borderId="12" xfId="0" applyFont="1" applyFill="1" applyBorder="1" applyProtection="1">
      <protection locked="0"/>
    </xf>
    <xf numFmtId="165" fontId="8" fillId="0" borderId="60" xfId="2" applyFont="1" applyBorder="1" applyAlignment="1" applyProtection="1">
      <alignment horizontal="left"/>
    </xf>
    <xf numFmtId="0" fontId="21" fillId="4" borderId="59" xfId="0" applyFont="1" applyFill="1" applyBorder="1"/>
    <xf numFmtId="0" fontId="16" fillId="0" borderId="0" xfId="8" applyFont="1"/>
    <xf numFmtId="0" fontId="16" fillId="0" borderId="0" xfId="8" applyFont="1" applyAlignment="1">
      <alignment horizontal="center"/>
    </xf>
    <xf numFmtId="0" fontId="6" fillId="5" borderId="0" xfId="8" applyFont="1" applyFill="1" applyAlignment="1">
      <alignment horizontal="center"/>
    </xf>
    <xf numFmtId="0" fontId="2" fillId="0" borderId="0" xfId="8"/>
    <xf numFmtId="0" fontId="17" fillId="0" borderId="0" xfId="8" applyFont="1" applyAlignment="1">
      <alignment horizontal="center"/>
    </xf>
    <xf numFmtId="9" fontId="17" fillId="0" borderId="0" xfId="9" applyFont="1" applyAlignment="1">
      <alignment horizontal="center"/>
    </xf>
    <xf numFmtId="0" fontId="34" fillId="0" borderId="0" xfId="8" applyFont="1" applyAlignment="1">
      <alignment horizontal="center" wrapText="1"/>
    </xf>
    <xf numFmtId="0" fontId="34" fillId="0" borderId="0" xfId="8" applyFont="1" applyAlignment="1">
      <alignment horizontal="center"/>
    </xf>
    <xf numFmtId="0" fontId="6" fillId="0" borderId="0" xfId="8" applyFont="1" applyAlignment="1">
      <alignment horizontal="right"/>
    </xf>
    <xf numFmtId="164" fontId="24" fillId="0" borderId="0" xfId="8" applyNumberFormat="1" applyFont="1" applyAlignment="1">
      <alignment horizontal="center"/>
    </xf>
    <xf numFmtId="0" fontId="17" fillId="0" borderId="0" xfId="8" applyFont="1" applyAlignment="1">
      <alignment horizontal="right"/>
    </xf>
    <xf numFmtId="164" fontId="17" fillId="0" borderId="0" xfId="8" applyNumberFormat="1" applyFont="1" applyAlignment="1">
      <alignment horizontal="center"/>
    </xf>
    <xf numFmtId="0" fontId="6" fillId="5" borderId="49" xfId="8" applyFont="1" applyFill="1" applyBorder="1"/>
    <xf numFmtId="0" fontId="16" fillId="0" borderId="49" xfId="8" applyFont="1" applyBorder="1" applyAlignment="1">
      <alignment horizontal="center"/>
    </xf>
    <xf numFmtId="0" fontId="33" fillId="0" borderId="0" xfId="8" applyFont="1" applyAlignment="1">
      <alignment horizontal="center"/>
    </xf>
    <xf numFmtId="0" fontId="2" fillId="5" borderId="56" xfId="8" applyFill="1" applyBorder="1"/>
    <xf numFmtId="0" fontId="2" fillId="5" borderId="59" xfId="8" applyFill="1" applyBorder="1"/>
    <xf numFmtId="0" fontId="8" fillId="0" borderId="56" xfId="8" applyFont="1" applyBorder="1"/>
    <xf numFmtId="9" fontId="8" fillId="0" borderId="59" xfId="9" applyFont="1" applyBorder="1" applyAlignment="1">
      <alignment horizontal="left"/>
    </xf>
    <xf numFmtId="49" fontId="2" fillId="0" borderId="56" xfId="8" applyNumberFormat="1" applyBorder="1" applyAlignment="1" applyProtection="1">
      <alignment horizontal="left"/>
      <protection locked="0"/>
    </xf>
    <xf numFmtId="9" fontId="8" fillId="0" borderId="59" xfId="9" applyFont="1" applyBorder="1" applyAlignment="1" applyProtection="1">
      <alignment horizontal="left"/>
      <protection locked="0"/>
    </xf>
    <xf numFmtId="0" fontId="35" fillId="0" borderId="0" xfId="8" applyFont="1" applyAlignment="1">
      <alignment horizontal="center"/>
    </xf>
    <xf numFmtId="0" fontId="16" fillId="0" borderId="0" xfId="8" applyFont="1" applyAlignment="1">
      <alignment horizontal="center" wrapText="1"/>
    </xf>
    <xf numFmtId="49" fontId="2" fillId="0" borderId="57" xfId="8" applyNumberFormat="1" applyBorder="1" applyAlignment="1" applyProtection="1">
      <alignment horizontal="left"/>
      <protection locked="0"/>
    </xf>
    <xf numFmtId="9" fontId="8" fillId="0" borderId="63" xfId="9" applyFont="1" applyBorder="1" applyAlignment="1" applyProtection="1">
      <alignment horizontal="left"/>
      <protection locked="0"/>
    </xf>
    <xf numFmtId="164" fontId="16" fillId="0" borderId="0" xfId="8" applyNumberFormat="1" applyFont="1" applyAlignment="1">
      <alignment horizontal="center"/>
    </xf>
    <xf numFmtId="0" fontId="16" fillId="0" borderId="0" xfId="8" applyFont="1" applyAlignment="1">
      <alignment horizontal="left" indent="2"/>
    </xf>
    <xf numFmtId="165" fontId="8" fillId="0" borderId="22" xfId="2" applyFont="1" applyBorder="1" applyAlignment="1" applyProtection="1">
      <alignment horizontal="left"/>
    </xf>
    <xf numFmtId="165" fontId="8" fillId="0" borderId="61" xfId="2" applyFont="1" applyBorder="1" applyAlignment="1" applyProtection="1">
      <alignment horizontal="left"/>
    </xf>
    <xf numFmtId="165" fontId="8" fillId="0" borderId="14" xfId="2" applyFont="1" applyBorder="1" applyProtection="1"/>
    <xf numFmtId="0" fontId="15" fillId="0" borderId="0" xfId="0" applyFont="1" applyAlignment="1">
      <alignment vertical="center"/>
    </xf>
    <xf numFmtId="0" fontId="15" fillId="0" borderId="0" xfId="0" applyFont="1"/>
    <xf numFmtId="0" fontId="6" fillId="5" borderId="12" xfId="8" applyFont="1" applyFill="1" applyBorder="1"/>
    <xf numFmtId="0" fontId="16" fillId="0" borderId="12" xfId="8" applyFont="1" applyBorder="1" applyAlignment="1">
      <alignment horizontal="center"/>
    </xf>
    <xf numFmtId="166" fontId="9" fillId="0" borderId="0" xfId="2" applyNumberFormat="1" applyFont="1" applyBorder="1" applyAlignment="1">
      <alignment horizontal="left"/>
    </xf>
    <xf numFmtId="166" fontId="1" fillId="0" borderId="15" xfId="2" applyNumberFormat="1" applyFont="1" applyFill="1" applyBorder="1" applyAlignment="1" applyProtection="1"/>
    <xf numFmtId="0" fontId="40" fillId="6" borderId="0" xfId="0" applyFont="1" applyFill="1" applyProtection="1">
      <protection locked="0"/>
    </xf>
    <xf numFmtId="168" fontId="16" fillId="5" borderId="0" xfId="0" applyNumberFormat="1" applyFont="1" applyFill="1" applyAlignment="1">
      <alignment horizontal="left"/>
    </xf>
    <xf numFmtId="0" fontId="12" fillId="0" borderId="0" xfId="0" applyFont="1" applyAlignment="1">
      <alignment horizontal="center"/>
    </xf>
    <xf numFmtId="165" fontId="6" fillId="5" borderId="21" xfId="2" applyFont="1" applyFill="1" applyBorder="1" applyAlignment="1" applyProtection="1"/>
    <xf numFmtId="165" fontId="6" fillId="0" borderId="21" xfId="2" applyFont="1" applyFill="1" applyBorder="1" applyAlignment="1" applyProtection="1"/>
    <xf numFmtId="165" fontId="8" fillId="0" borderId="24" xfId="2" applyFont="1" applyBorder="1" applyAlignment="1" applyProtection="1">
      <alignment horizontal="left"/>
    </xf>
    <xf numFmtId="0" fontId="8" fillId="0" borderId="56" xfId="0" applyFont="1" applyBorder="1"/>
    <xf numFmtId="0" fontId="8" fillId="0" borderId="57" xfId="0" applyFont="1" applyBorder="1"/>
    <xf numFmtId="0" fontId="8" fillId="0" borderId="13" xfId="0" applyFont="1" applyBorder="1" applyAlignment="1">
      <alignment horizontal="left" vertical="center" wrapText="1"/>
    </xf>
    <xf numFmtId="0" fontId="6" fillId="4" borderId="13" xfId="0" applyFont="1" applyFill="1" applyBorder="1" applyAlignment="1">
      <alignment horizontal="center" vertical="center"/>
    </xf>
    <xf numFmtId="0" fontId="10" fillId="7" borderId="25" xfId="0" applyFont="1" applyFill="1" applyBorder="1" applyAlignment="1">
      <alignment horizontal="center"/>
    </xf>
    <xf numFmtId="165" fontId="8" fillId="0" borderId="62" xfId="2" applyFont="1" applyBorder="1" applyProtection="1"/>
    <xf numFmtId="165" fontId="8" fillId="0" borderId="62" xfId="2" applyFont="1" applyBorder="1" applyAlignment="1" applyProtection="1">
      <alignment horizontal="left"/>
    </xf>
    <xf numFmtId="0" fontId="8" fillId="0" borderId="21" xfId="0" applyFont="1" applyBorder="1" applyAlignment="1">
      <alignment vertical="center"/>
    </xf>
    <xf numFmtId="0" fontId="1" fillId="0" borderId="0" xfId="0" applyFont="1" applyAlignment="1">
      <alignment wrapText="1"/>
    </xf>
    <xf numFmtId="0" fontId="1" fillId="0" borderId="13" xfId="0" applyFont="1" applyBorder="1" applyAlignment="1">
      <alignment vertical="center"/>
    </xf>
    <xf numFmtId="0" fontId="10" fillId="4" borderId="58" xfId="0" applyFont="1" applyFill="1" applyBorder="1" applyAlignment="1">
      <alignment horizontal="center" vertical="center"/>
    </xf>
    <xf numFmtId="165" fontId="10" fillId="4" borderId="14" xfId="2" applyFont="1" applyFill="1" applyBorder="1" applyAlignment="1" applyProtection="1">
      <alignment horizontal="center" vertical="center"/>
    </xf>
    <xf numFmtId="0" fontId="10" fillId="4" borderId="0" xfId="0" applyFont="1" applyFill="1" applyAlignment="1">
      <alignment horizontal="center" vertical="center"/>
    </xf>
    <xf numFmtId="0" fontId="46" fillId="2" borderId="56" xfId="0" applyFont="1" applyFill="1" applyBorder="1"/>
    <xf numFmtId="0" fontId="46" fillId="0" borderId="0" xfId="0" applyFont="1"/>
    <xf numFmtId="0" fontId="32" fillId="0" borderId="0" xfId="0" applyFont="1" applyAlignment="1">
      <alignment wrapText="1"/>
    </xf>
    <xf numFmtId="0" fontId="1" fillId="2" borderId="56" xfId="0" applyFont="1" applyFill="1" applyBorder="1"/>
    <xf numFmtId="0" fontId="32" fillId="0" borderId="0" xfId="0" applyFont="1"/>
    <xf numFmtId="0" fontId="1" fillId="2" borderId="0" xfId="0" applyFont="1" applyFill="1" applyAlignment="1">
      <alignment wrapText="1"/>
    </xf>
    <xf numFmtId="166" fontId="1" fillId="0" borderId="13" xfId="2" applyNumberFormat="1" applyFont="1" applyFill="1" applyBorder="1" applyAlignment="1" applyProtection="1"/>
    <xf numFmtId="0" fontId="36" fillId="0" borderId="0" xfId="0" applyFont="1"/>
    <xf numFmtId="9" fontId="8" fillId="0" borderId="59" xfId="1" applyFont="1" applyBorder="1" applyAlignment="1" applyProtection="1">
      <alignment horizontal="left"/>
    </xf>
    <xf numFmtId="0" fontId="7" fillId="4" borderId="58" xfId="0" applyFont="1" applyFill="1" applyBorder="1"/>
    <xf numFmtId="0" fontId="8" fillId="4" borderId="22" xfId="0" applyFont="1" applyFill="1" applyBorder="1"/>
    <xf numFmtId="0" fontId="7" fillId="4" borderId="22" xfId="0" applyFont="1" applyFill="1" applyBorder="1"/>
    <xf numFmtId="9" fontId="8" fillId="0" borderId="63" xfId="1" applyFont="1" applyBorder="1" applyAlignment="1" applyProtection="1">
      <alignment horizontal="left"/>
    </xf>
    <xf numFmtId="9" fontId="17" fillId="0" borderId="26" xfId="1" applyFont="1" applyFill="1" applyBorder="1" applyAlignment="1" applyProtection="1">
      <alignment horizontal="center"/>
      <protection locked="0"/>
    </xf>
    <xf numFmtId="0" fontId="8" fillId="0" borderId="0" xfId="0" applyFont="1" applyAlignment="1">
      <alignment horizontal="left"/>
    </xf>
    <xf numFmtId="0" fontId="43" fillId="0" borderId="0" xfId="0" applyFont="1"/>
    <xf numFmtId="166" fontId="8" fillId="0" borderId="62" xfId="2" applyNumberFormat="1" applyFont="1" applyBorder="1" applyAlignment="1" applyProtection="1">
      <alignment horizontal="left"/>
    </xf>
    <xf numFmtId="166" fontId="8" fillId="0" borderId="62" xfId="2" applyNumberFormat="1" applyFont="1" applyBorder="1" applyProtection="1"/>
    <xf numFmtId="0" fontId="44" fillId="2" borderId="56" xfId="0" applyFont="1" applyFill="1" applyBorder="1"/>
    <xf numFmtId="0" fontId="42" fillId="0" borderId="0" xfId="0" applyFont="1"/>
    <xf numFmtId="0" fontId="45" fillId="0" borderId="0" xfId="0" applyFont="1"/>
    <xf numFmtId="165" fontId="8" fillId="0" borderId="0" xfId="2" applyFont="1" applyProtection="1"/>
    <xf numFmtId="0" fontId="37" fillId="8" borderId="2" xfId="0" applyFont="1" applyFill="1" applyBorder="1" applyAlignment="1">
      <alignment vertical="center"/>
    </xf>
    <xf numFmtId="49" fontId="38" fillId="0" borderId="2" xfId="0" applyNumberFormat="1" applyFont="1" applyBorder="1" applyAlignment="1">
      <alignment horizontal="left" vertical="center"/>
    </xf>
    <xf numFmtId="9" fontId="38" fillId="0" borderId="2" xfId="0" applyNumberFormat="1" applyFont="1" applyBorder="1" applyAlignment="1">
      <alignment horizontal="right" vertical="center"/>
    </xf>
    <xf numFmtId="0" fontId="38" fillId="0" borderId="2" xfId="0" applyFont="1" applyBorder="1" applyAlignment="1">
      <alignment vertical="center"/>
    </xf>
    <xf numFmtId="0" fontId="8" fillId="0" borderId="59" xfId="0" applyFont="1" applyBorder="1" applyAlignment="1">
      <alignment horizontal="left"/>
    </xf>
    <xf numFmtId="0" fontId="15" fillId="6" borderId="12" xfId="0" applyFont="1" applyFill="1" applyBorder="1" applyAlignment="1" applyProtection="1">
      <alignment horizontal="center" wrapText="1"/>
      <protection locked="0"/>
    </xf>
    <xf numFmtId="0" fontId="15" fillId="6" borderId="13" xfId="0" applyFont="1" applyFill="1" applyBorder="1" applyAlignment="1" applyProtection="1">
      <alignment horizontal="center" wrapText="1"/>
      <protection locked="0"/>
    </xf>
    <xf numFmtId="49" fontId="17" fillId="5" borderId="2" xfId="1" applyNumberFormat="1" applyFont="1" applyFill="1" applyBorder="1" applyAlignment="1" applyProtection="1">
      <alignment horizontal="center"/>
      <protection locked="0"/>
    </xf>
    <xf numFmtId="0" fontId="16" fillId="2" borderId="4" xfId="0" applyFont="1" applyFill="1" applyBorder="1" applyAlignment="1" applyProtection="1">
      <alignment horizontal="right"/>
      <protection locked="0"/>
    </xf>
    <xf numFmtId="0" fontId="15" fillId="6" borderId="19" xfId="0" applyFont="1" applyFill="1" applyBorder="1" applyAlignment="1" applyProtection="1">
      <alignment horizontal="center" wrapText="1"/>
      <protection locked="0"/>
    </xf>
    <xf numFmtId="0" fontId="15" fillId="6" borderId="4" xfId="0" applyFont="1" applyFill="1" applyBorder="1" applyAlignment="1" applyProtection="1">
      <alignment horizontal="right"/>
      <protection locked="0"/>
    </xf>
    <xf numFmtId="0" fontId="16" fillId="2" borderId="0" xfId="0" applyFont="1" applyFill="1" applyAlignment="1" applyProtection="1">
      <alignment horizontal="right"/>
      <protection locked="0"/>
    </xf>
    <xf numFmtId="0" fontId="15" fillId="6" borderId="0" xfId="0" applyFont="1" applyFill="1" applyAlignment="1" applyProtection="1">
      <alignment horizontal="right"/>
      <protection locked="0"/>
    </xf>
    <xf numFmtId="0" fontId="15" fillId="6" borderId="13" xfId="0" applyFont="1" applyFill="1" applyBorder="1" applyProtection="1">
      <protection locked="0"/>
    </xf>
    <xf numFmtId="0" fontId="15" fillId="6" borderId="19" xfId="0" applyFont="1" applyFill="1" applyBorder="1" applyAlignment="1" applyProtection="1">
      <alignment horizontal="center"/>
      <protection locked="0"/>
    </xf>
    <xf numFmtId="0" fontId="15" fillId="6" borderId="6" xfId="0" applyFont="1" applyFill="1" applyBorder="1" applyAlignment="1" applyProtection="1">
      <alignment horizontal="center" wrapText="1"/>
      <protection locked="0"/>
    </xf>
    <xf numFmtId="49" fontId="17" fillId="5" borderId="2" xfId="0" applyNumberFormat="1" applyFont="1" applyFill="1" applyBorder="1" applyAlignment="1" applyProtection="1">
      <alignment horizontal="center"/>
      <protection locked="0"/>
    </xf>
    <xf numFmtId="0" fontId="17" fillId="0" borderId="20" xfId="0" applyFont="1" applyBorder="1" applyAlignment="1" applyProtection="1">
      <alignment horizontal="left" vertical="center"/>
      <protection locked="0"/>
    </xf>
    <xf numFmtId="0" fontId="17" fillId="0" borderId="18" xfId="0" applyFont="1" applyBorder="1" applyAlignment="1" applyProtection="1">
      <alignment horizontal="left" vertical="center"/>
      <protection locked="0"/>
    </xf>
    <xf numFmtId="167" fontId="15" fillId="6" borderId="7" xfId="2" applyNumberFormat="1" applyFont="1" applyFill="1" applyBorder="1" applyAlignment="1" applyProtection="1">
      <alignment horizontal="left" wrapText="1"/>
    </xf>
    <xf numFmtId="167" fontId="15" fillId="6" borderId="13" xfId="2" applyNumberFormat="1" applyFont="1" applyFill="1" applyBorder="1" applyAlignment="1" applyProtection="1">
      <alignment horizontal="left" wrapText="1"/>
    </xf>
    <xf numFmtId="0" fontId="6" fillId="6" borderId="0" xfId="0" applyFont="1" applyFill="1" applyAlignment="1" applyProtection="1">
      <alignment horizontal="right"/>
      <protection locked="0"/>
    </xf>
    <xf numFmtId="0" fontId="6" fillId="2" borderId="0" xfId="4" applyFont="1" applyFill="1" applyAlignment="1" applyProtection="1">
      <alignment horizontal="right"/>
      <protection locked="0"/>
    </xf>
    <xf numFmtId="0" fontId="19" fillId="2" borderId="0" xfId="0" applyFont="1" applyFill="1" applyAlignment="1" applyProtection="1">
      <alignment horizontal="center" wrapText="1"/>
      <protection locked="0"/>
    </xf>
    <xf numFmtId="0" fontId="29" fillId="0" borderId="49" xfId="0" applyFont="1" applyBorder="1" applyAlignment="1" applyProtection="1">
      <alignment horizontal="center"/>
      <protection locked="0"/>
    </xf>
    <xf numFmtId="165" fontId="13" fillId="5" borderId="3" xfId="2" applyFont="1" applyFill="1" applyBorder="1" applyAlignment="1" applyProtection="1">
      <alignment horizontal="center" wrapText="1"/>
      <protection locked="0"/>
    </xf>
    <xf numFmtId="167" fontId="15" fillId="6" borderId="12" xfId="2" applyNumberFormat="1" applyFont="1" applyFill="1" applyBorder="1" applyAlignment="1" applyProtection="1">
      <alignment horizontal="left" wrapText="1"/>
    </xf>
    <xf numFmtId="0" fontId="13" fillId="5" borderId="34" xfId="0" applyFont="1" applyFill="1" applyBorder="1" applyAlignment="1" applyProtection="1">
      <alignment horizontal="center"/>
      <protection locked="0"/>
    </xf>
    <xf numFmtId="0" fontId="13" fillId="5" borderId="35" xfId="0" applyFont="1" applyFill="1" applyBorder="1" applyAlignment="1" applyProtection="1">
      <alignment horizontal="center"/>
      <protection locked="0"/>
    </xf>
    <xf numFmtId="0" fontId="13" fillId="5" borderId="36" xfId="0" applyFont="1" applyFill="1" applyBorder="1" applyAlignment="1" applyProtection="1">
      <alignment horizontal="center"/>
      <protection locked="0"/>
    </xf>
    <xf numFmtId="0" fontId="9" fillId="6" borderId="40" xfId="0" applyFont="1" applyFill="1" applyBorder="1" applyAlignment="1" applyProtection="1">
      <alignment horizontal="left" vertical="top" wrapText="1"/>
      <protection locked="0"/>
    </xf>
    <xf numFmtId="0" fontId="9" fillId="6" borderId="41" xfId="0" applyFont="1" applyFill="1" applyBorder="1" applyAlignment="1" applyProtection="1">
      <alignment horizontal="left" vertical="top" wrapText="1"/>
      <protection locked="0"/>
    </xf>
    <xf numFmtId="0" fontId="9" fillId="6" borderId="42" xfId="0" applyFont="1" applyFill="1" applyBorder="1" applyAlignment="1" applyProtection="1">
      <alignment horizontal="left" vertical="top" wrapText="1"/>
      <protection locked="0"/>
    </xf>
    <xf numFmtId="0" fontId="22" fillId="5" borderId="53" xfId="0" applyFont="1" applyFill="1" applyBorder="1" applyAlignment="1" applyProtection="1">
      <alignment horizontal="center"/>
      <protection locked="0"/>
    </xf>
    <xf numFmtId="0" fontId="22" fillId="5" borderId="54" xfId="0" applyFont="1" applyFill="1" applyBorder="1" applyAlignment="1" applyProtection="1">
      <alignment horizontal="center"/>
      <protection locked="0"/>
    </xf>
    <xf numFmtId="0" fontId="22" fillId="5" borderId="55" xfId="0" applyFont="1" applyFill="1" applyBorder="1" applyAlignment="1" applyProtection="1">
      <alignment horizontal="center"/>
      <protection locked="0"/>
    </xf>
    <xf numFmtId="0" fontId="15" fillId="6" borderId="12" xfId="0" applyFont="1" applyFill="1" applyBorder="1" applyAlignment="1" applyProtection="1">
      <alignment horizontal="center" wrapText="1"/>
      <protection locked="0"/>
    </xf>
    <xf numFmtId="0" fontId="15" fillId="6" borderId="12" xfId="0" applyFont="1" applyFill="1" applyBorder="1" applyAlignment="1" applyProtection="1">
      <alignment horizontal="center"/>
      <protection locked="0"/>
    </xf>
    <xf numFmtId="0" fontId="15" fillId="6" borderId="13" xfId="0" applyFont="1" applyFill="1" applyBorder="1" applyAlignment="1" applyProtection="1">
      <alignment horizontal="center"/>
      <protection locked="0"/>
    </xf>
    <xf numFmtId="0" fontId="15" fillId="6" borderId="13" xfId="0" applyFont="1" applyFill="1" applyBorder="1" applyAlignment="1" applyProtection="1">
      <alignment horizontal="center" wrapText="1"/>
      <protection locked="0"/>
    </xf>
    <xf numFmtId="0" fontId="24" fillId="0" borderId="0" xfId="0" applyFont="1" applyAlignment="1" applyProtection="1">
      <alignment horizontal="right" vertical="center"/>
      <protection locked="0"/>
    </xf>
    <xf numFmtId="0" fontId="15" fillId="6" borderId="33" xfId="0" applyFont="1" applyFill="1" applyBorder="1" applyAlignment="1" applyProtection="1">
      <alignment horizontal="center"/>
      <protection locked="0"/>
    </xf>
    <xf numFmtId="0" fontId="25" fillId="0" borderId="52" xfId="0" applyFont="1" applyBorder="1" applyAlignment="1" applyProtection="1">
      <alignment horizontal="center"/>
      <protection locked="0"/>
    </xf>
    <xf numFmtId="0" fontId="22" fillId="5" borderId="30" xfId="0" applyFont="1" applyFill="1" applyBorder="1" applyAlignment="1" applyProtection="1">
      <alignment horizontal="left"/>
      <protection locked="0"/>
    </xf>
    <xf numFmtId="0" fontId="22" fillId="5" borderId="27" xfId="0" applyFont="1" applyFill="1" applyBorder="1" applyAlignment="1" applyProtection="1">
      <alignment horizontal="left"/>
      <protection locked="0"/>
    </xf>
    <xf numFmtId="0" fontId="22" fillId="5" borderId="31" xfId="0" applyFont="1" applyFill="1" applyBorder="1" applyAlignment="1" applyProtection="1">
      <alignment horizontal="left"/>
      <protection locked="0"/>
    </xf>
    <xf numFmtId="0" fontId="6" fillId="2" borderId="28" xfId="0" applyFont="1" applyFill="1" applyBorder="1" applyAlignment="1" applyProtection="1">
      <alignment horizontal="left"/>
      <protection locked="0"/>
    </xf>
    <xf numFmtId="0" fontId="6" fillId="2" borderId="0" xfId="0" applyFont="1" applyFill="1" applyAlignment="1" applyProtection="1">
      <alignment horizontal="left"/>
      <protection locked="0"/>
    </xf>
    <xf numFmtId="0" fontId="9" fillId="6" borderId="0" xfId="0" applyFont="1" applyFill="1" applyAlignment="1" applyProtection="1">
      <alignment horizontal="left"/>
      <protection locked="0"/>
    </xf>
    <xf numFmtId="0" fontId="9" fillId="6" borderId="24" xfId="0" applyFont="1" applyFill="1" applyBorder="1" applyAlignment="1" applyProtection="1">
      <alignment horizontal="left"/>
      <protection locked="0"/>
    </xf>
    <xf numFmtId="0" fontId="9" fillId="6" borderId="51" xfId="0" applyFont="1" applyFill="1" applyBorder="1" applyAlignment="1" applyProtection="1">
      <alignment horizontal="left"/>
      <protection locked="0"/>
    </xf>
    <xf numFmtId="0" fontId="15" fillId="6" borderId="32" xfId="0" applyFont="1" applyFill="1" applyBorder="1" applyAlignment="1" applyProtection="1">
      <alignment horizontal="center"/>
      <protection locked="0"/>
    </xf>
    <xf numFmtId="0" fontId="26" fillId="0" borderId="46" xfId="0" applyFont="1" applyBorder="1" applyAlignment="1" applyProtection="1">
      <alignment wrapText="1"/>
      <protection locked="0"/>
    </xf>
    <xf numFmtId="0" fontId="22" fillId="5" borderId="1" xfId="0" applyFont="1" applyFill="1" applyBorder="1" applyAlignment="1" applyProtection="1">
      <alignment horizontal="center"/>
      <protection locked="0"/>
    </xf>
    <xf numFmtId="0" fontId="22" fillId="5" borderId="3" xfId="0" applyFont="1" applyFill="1" applyBorder="1" applyAlignment="1" applyProtection="1">
      <alignment horizontal="center"/>
      <protection locked="0"/>
    </xf>
    <xf numFmtId="0" fontId="22" fillId="5" borderId="10" xfId="0" applyFont="1" applyFill="1" applyBorder="1" applyAlignment="1" applyProtection="1">
      <alignment horizontal="center"/>
      <protection locked="0"/>
    </xf>
    <xf numFmtId="0" fontId="16" fillId="0" borderId="0" xfId="0" applyFont="1" applyAlignment="1" applyProtection="1">
      <alignment horizontal="left" vertical="center" wrapText="1"/>
      <protection locked="0"/>
    </xf>
    <xf numFmtId="0" fontId="26" fillId="0" borderId="36" xfId="0" applyFont="1" applyBorder="1" applyAlignment="1" applyProtection="1">
      <alignment wrapText="1"/>
      <protection locked="0"/>
    </xf>
    <xf numFmtId="0" fontId="15" fillId="0" borderId="0" xfId="0" applyFont="1" applyAlignment="1">
      <alignment horizontal="left" vertical="center" wrapText="1"/>
    </xf>
    <xf numFmtId="0" fontId="16" fillId="0" borderId="0" xfId="0" applyFont="1" applyAlignment="1">
      <alignment wrapText="1"/>
    </xf>
    <xf numFmtId="0" fontId="41" fillId="0" borderId="0" xfId="8" applyFont="1" applyAlignment="1">
      <alignment horizontal="center"/>
    </xf>
    <xf numFmtId="0" fontId="16" fillId="0" borderId="0" xfId="8" applyFont="1" applyAlignment="1">
      <alignment horizontal="center" wrapText="1"/>
    </xf>
    <xf numFmtId="0" fontId="16" fillId="0" borderId="0" xfId="8" applyFont="1" applyAlignment="1">
      <alignment horizontal="center"/>
    </xf>
    <xf numFmtId="0" fontId="7" fillId="4" borderId="21" xfId="0" applyFont="1" applyFill="1" applyBorder="1" applyAlignment="1">
      <alignment horizontal="center"/>
    </xf>
    <xf numFmtId="0" fontId="7" fillId="4" borderId="15" xfId="0" applyFont="1" applyFill="1" applyBorder="1" applyAlignment="1">
      <alignment horizontal="center"/>
    </xf>
    <xf numFmtId="0" fontId="39" fillId="5" borderId="2" xfId="0" applyFont="1" applyFill="1" applyBorder="1" applyAlignment="1">
      <alignment vertical="center"/>
    </xf>
    <xf numFmtId="0" fontId="22" fillId="5" borderId="68" xfId="0" applyFont="1" applyFill="1" applyBorder="1" applyAlignment="1" applyProtection="1">
      <protection locked="0"/>
    </xf>
    <xf numFmtId="0" fontId="22" fillId="5" borderId="69" xfId="0" applyFont="1" applyFill="1" applyBorder="1" applyAlignment="1" applyProtection="1">
      <protection locked="0"/>
    </xf>
    <xf numFmtId="0" fontId="22" fillId="5" borderId="70" xfId="0" applyFont="1" applyFill="1" applyBorder="1" applyAlignment="1" applyProtection="1">
      <protection locked="0"/>
    </xf>
    <xf numFmtId="0" fontId="13" fillId="5" borderId="30" xfId="0" applyFont="1" applyFill="1" applyBorder="1" applyAlignment="1" applyProtection="1">
      <protection locked="0"/>
    </xf>
    <xf numFmtId="0" fontId="13" fillId="5" borderId="27" xfId="0" applyFont="1" applyFill="1" applyBorder="1" applyAlignment="1" applyProtection="1">
      <protection locked="0"/>
    </xf>
    <xf numFmtId="0" fontId="13" fillId="5" borderId="31" xfId="0" applyFont="1" applyFill="1" applyBorder="1" applyAlignment="1" applyProtection="1">
      <protection locked="0"/>
    </xf>
    <xf numFmtId="0" fontId="15" fillId="6" borderId="13" xfId="0" applyFont="1" applyFill="1" applyBorder="1" applyAlignment="1" applyProtection="1">
      <protection locked="0"/>
    </xf>
    <xf numFmtId="0" fontId="15" fillId="6" borderId="33" xfId="0" applyFont="1" applyFill="1" applyBorder="1" applyAlignment="1" applyProtection="1">
      <protection locked="0"/>
    </xf>
    <xf numFmtId="0" fontId="22" fillId="5" borderId="43" xfId="0" applyFont="1" applyFill="1" applyBorder="1" applyAlignment="1" applyProtection="1">
      <protection locked="0"/>
    </xf>
    <xf numFmtId="0" fontId="22" fillId="5" borderId="38" xfId="0" applyFont="1" applyFill="1" applyBorder="1" applyAlignment="1" applyProtection="1">
      <protection locked="0"/>
    </xf>
    <xf numFmtId="0" fontId="22" fillId="5" borderId="44" xfId="0" applyFont="1" applyFill="1" applyBorder="1" applyAlignment="1" applyProtection="1">
      <protection locked="0"/>
    </xf>
    <xf numFmtId="0" fontId="7" fillId="4" borderId="58" xfId="8" applyFont="1" applyFill="1" applyBorder="1" applyAlignment="1"/>
    <xf numFmtId="0" fontId="7" fillId="4" borderId="22" xfId="8" applyFont="1" applyFill="1" applyBorder="1" applyAlignment="1"/>
    <xf numFmtId="0" fontId="1" fillId="0" borderId="58" xfId="0" applyFont="1" applyBorder="1"/>
    <xf numFmtId="0" fontId="1" fillId="0" borderId="13" xfId="0" applyFont="1" applyBorder="1" applyAlignment="1">
      <alignment horizontal="left" vertical="center" wrapText="1"/>
    </xf>
    <xf numFmtId="0" fontId="1" fillId="0" borderId="56" xfId="0" applyFont="1" applyBorder="1"/>
    <xf numFmtId="0" fontId="1" fillId="0" borderId="57" xfId="0" applyFont="1" applyBorder="1"/>
    <xf numFmtId="165" fontId="1" fillId="0" borderId="13" xfId="2" applyFont="1" applyFill="1" applyBorder="1" applyAlignment="1" applyProtection="1">
      <alignment horizontal="center" wrapText="1"/>
    </xf>
    <xf numFmtId="165" fontId="1" fillId="0" borderId="2" xfId="2" applyFont="1" applyFill="1" applyBorder="1" applyAlignment="1" applyProtection="1"/>
    <xf numFmtId="0" fontId="1" fillId="0" borderId="14" xfId="0" applyFont="1" applyBorder="1" applyAlignment="1">
      <alignment vertical="center"/>
    </xf>
    <xf numFmtId="0" fontId="1" fillId="0" borderId="14" xfId="0" applyFont="1" applyBorder="1" applyAlignment="1">
      <alignment horizontal="left" vertical="center" wrapText="1"/>
    </xf>
    <xf numFmtId="165" fontId="1" fillId="0" borderId="14" xfId="2" applyFont="1" applyFill="1" applyBorder="1" applyAlignment="1" applyProtection="1"/>
    <xf numFmtId="0" fontId="1" fillId="0" borderId="0" xfId="0" applyFont="1" applyAlignment="1">
      <alignment horizontal="left" vertical="center" wrapText="1"/>
    </xf>
    <xf numFmtId="165" fontId="1" fillId="0" borderId="0" xfId="2" applyFont="1" applyFill="1" applyBorder="1" applyAlignment="1" applyProtection="1"/>
    <xf numFmtId="0" fontId="1" fillId="0" borderId="0" xfId="0" applyFont="1" applyAlignment="1">
      <alignment horizontal="center" vertical="center" textRotation="90" wrapText="1"/>
    </xf>
    <xf numFmtId="0" fontId="1" fillId="0" borderId="12" xfId="0" applyFont="1" applyBorder="1" applyAlignment="1">
      <alignment horizontal="left" vertical="center" wrapText="1"/>
    </xf>
    <xf numFmtId="165" fontId="1" fillId="0" borderId="12" xfId="2" applyFont="1" applyFill="1" applyBorder="1" applyAlignment="1" applyProtection="1"/>
    <xf numFmtId="0" fontId="1" fillId="0" borderId="0" xfId="0" applyFont="1" applyAlignment="1">
      <alignment vertical="center" textRotation="90"/>
    </xf>
    <xf numFmtId="0" fontId="1" fillId="0" borderId="58" xfId="0" applyFont="1" applyBorder="1" applyAlignment="1">
      <alignment vertical="center"/>
    </xf>
    <xf numFmtId="0" fontId="1" fillId="0" borderId="0" xfId="0" applyFont="1" applyAlignment="1">
      <alignment horizontal="center" vertical="center" textRotation="90"/>
    </xf>
    <xf numFmtId="0" fontId="1" fillId="0" borderId="13" xfId="0" applyFont="1" applyBorder="1" applyAlignment="1">
      <alignment vertical="center" wrapText="1"/>
    </xf>
    <xf numFmtId="0" fontId="1" fillId="0" borderId="0" xfId="0" applyFont="1" applyAlignment="1">
      <alignment horizontal="center" vertical="center" textRotation="90" wrapText="1"/>
    </xf>
    <xf numFmtId="165" fontId="1" fillId="0" borderId="13" xfId="2" applyFont="1" applyFill="1" applyBorder="1" applyAlignment="1" applyProtection="1"/>
    <xf numFmtId="166" fontId="1" fillId="0" borderId="0" xfId="2" applyNumberFormat="1" applyFont="1" applyFill="1" applyBorder="1" applyAlignment="1" applyProtection="1"/>
    <xf numFmtId="0" fontId="1" fillId="0" borderId="13" xfId="0" applyFont="1" applyBorder="1" applyAlignment="1">
      <alignment horizontal="left" wrapText="1"/>
    </xf>
    <xf numFmtId="166" fontId="1" fillId="0" borderId="22" xfId="2" applyNumberFormat="1" applyFont="1" applyFill="1" applyBorder="1" applyAlignment="1" applyProtection="1"/>
    <xf numFmtId="0" fontId="1" fillId="2" borderId="14" xfId="0" applyFont="1" applyFill="1" applyBorder="1" applyAlignment="1">
      <alignment horizontal="left" wrapText="1"/>
    </xf>
    <xf numFmtId="166" fontId="1" fillId="0" borderId="13" xfId="2" applyNumberFormat="1" applyFont="1" applyFill="1" applyBorder="1" applyAlignment="1" applyProtection="1">
      <alignment horizontal="right"/>
    </xf>
    <xf numFmtId="0" fontId="1" fillId="2" borderId="0" xfId="0" applyFont="1" applyFill="1" applyAlignment="1">
      <alignment horizontal="left" wrapText="1"/>
    </xf>
    <xf numFmtId="166" fontId="1" fillId="0" borderId="2" xfId="2" applyNumberFormat="1" applyFont="1" applyFill="1" applyBorder="1" applyAlignment="1" applyProtection="1"/>
    <xf numFmtId="49" fontId="1" fillId="0" borderId="0" xfId="0" applyNumberFormat="1" applyFont="1" applyAlignment="1">
      <alignment wrapText="1"/>
    </xf>
    <xf numFmtId="165" fontId="1" fillId="0" borderId="0" xfId="5" applyFont="1" applyAlignment="1" applyProtection="1">
      <alignment horizontal="right" wrapText="1"/>
    </xf>
    <xf numFmtId="165" fontId="1" fillId="0" borderId="56" xfId="5" applyFont="1" applyBorder="1" applyAlignment="1" applyProtection="1">
      <alignment horizontal="right" wrapText="1"/>
    </xf>
    <xf numFmtId="0" fontId="1" fillId="2" borderId="0" xfId="0" applyFont="1" applyFill="1" applyAlignment="1">
      <alignment horizontal="left" vertical="center" wrapText="1"/>
    </xf>
    <xf numFmtId="0" fontId="7" fillId="4" borderId="56" xfId="0" applyFont="1" applyFill="1" applyBorder="1" applyAlignment="1"/>
    <xf numFmtId="0" fontId="7" fillId="4" borderId="59" xfId="0" applyFont="1" applyFill="1" applyBorder="1" applyAlignment="1"/>
    <xf numFmtId="0" fontId="1" fillId="5" borderId="56" xfId="0" applyFont="1" applyFill="1" applyBorder="1"/>
    <xf numFmtId="0" fontId="1" fillId="5" borderId="59" xfId="0" applyFont="1" applyFill="1" applyBorder="1"/>
    <xf numFmtId="49" fontId="1" fillId="0" borderId="56" xfId="0" applyNumberFormat="1" applyFont="1" applyBorder="1" applyAlignment="1">
      <alignment horizontal="left"/>
    </xf>
    <xf numFmtId="0" fontId="1" fillId="0" borderId="63" xfId="0" applyFont="1" applyBorder="1"/>
    <xf numFmtId="9" fontId="1" fillId="0" borderId="59" xfId="1" applyFont="1" applyBorder="1" applyAlignment="1" applyProtection="1">
      <alignment horizontal="left"/>
    </xf>
    <xf numFmtId="166" fontId="1" fillId="0" borderId="13" xfId="2" applyNumberFormat="1" applyFont="1" applyFill="1" applyBorder="1" applyAlignment="1" applyProtection="1">
      <alignment horizontal="center" wrapText="1"/>
    </xf>
    <xf numFmtId="166" fontId="1" fillId="0" borderId="14" xfId="2" applyNumberFormat="1" applyFont="1" applyFill="1" applyBorder="1" applyAlignment="1" applyProtection="1"/>
    <xf numFmtId="166" fontId="1" fillId="0" borderId="12" xfId="2" applyNumberFormat="1" applyFont="1" applyFill="1" applyBorder="1" applyAlignment="1" applyProtection="1"/>
    <xf numFmtId="0" fontId="7" fillId="4" borderId="58" xfId="0" applyFont="1" applyFill="1" applyBorder="1" applyAlignment="1"/>
    <xf numFmtId="0" fontId="7" fillId="4" borderId="22" xfId="0" applyFont="1" applyFill="1" applyBorder="1" applyAlignment="1"/>
    <xf numFmtId="0" fontId="1" fillId="0" borderId="59" xfId="0" applyFont="1" applyBorder="1"/>
    <xf numFmtId="0" fontId="1" fillId="0" borderId="0" xfId="0" applyFont="1"/>
  </cellXfs>
  <cellStyles count="10">
    <cellStyle name="Accent5" xfId="3" xr:uid="{00000000-0005-0000-0000-000006000000}"/>
    <cellStyle name="Currency" xfId="2" builtinId="4"/>
    <cellStyle name="Currency 2" xfId="5" xr:uid="{F7672B66-40B3-4C41-9FE0-731B69AAB1EF}"/>
    <cellStyle name="Normal" xfId="0" builtinId="0"/>
    <cellStyle name="Normal 2" xfId="6" xr:uid="{CDA029DC-D2F3-514F-AB50-B2695DCF0002}"/>
    <cellStyle name="Normal 3" xfId="4" xr:uid="{4477C456-B9C8-5245-9C77-CBAD20B02DAF}"/>
    <cellStyle name="Normal 4" xfId="8" xr:uid="{015E9582-9B5E-6D42-8C76-E7BC39B29BDD}"/>
    <cellStyle name="Percent" xfId="1" builtinId="5"/>
    <cellStyle name="Percent 2" xfId="7" xr:uid="{DC89EF8B-8FA4-C64F-A044-96EF7F193EF1}"/>
    <cellStyle name="Percent 3" xfId="9" xr:uid="{F8D59520-C4B5-5D41-932F-A4B6745BBFFD}"/>
  </cellStyles>
  <dxfs count="44">
    <dxf>
      <font>
        <b val="0"/>
        <i val="0"/>
        <strike val="0"/>
        <condense val="0"/>
        <extend val="0"/>
        <outline val="0"/>
        <shadow val="0"/>
        <u val="none"/>
        <vertAlign val="baseline"/>
        <sz val="12"/>
        <color theme="1"/>
        <name val="Calibri"/>
        <family val="2"/>
        <scheme val="minor"/>
      </font>
      <numFmt numFmtId="166" formatCode="_(&quot;$&quot;* #,##0_);_(&quot;$&quot;* \(#,##0\);_(&quot;$&quot;*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auto="1"/>
        </top>
        <bottom style="thin">
          <color auto="1"/>
        </bottom>
      </border>
      <protection locked="1" hidden="0"/>
    </dxf>
    <dxf>
      <font>
        <b val="0"/>
        <i val="0"/>
        <strike val="0"/>
        <condense val="0"/>
        <extend val="0"/>
        <outline val="0"/>
        <shadow val="0"/>
        <u val="none"/>
        <vertAlign val="baseline"/>
        <sz val="12"/>
        <color theme="1"/>
        <name val="Calibri"/>
        <family val="2"/>
        <scheme val="minor"/>
      </font>
      <numFmt numFmtId="166" formatCode="_(&quot;$&quot;* #,##0_);_(&quot;$&quot;* \(#,##0\);_(&quot;$&quot;* &quot;-&quot;??_);_(@_)"/>
      <fill>
        <patternFill patternType="none">
          <fgColor indexed="64"/>
          <bgColor indexed="65"/>
        </patternFill>
      </fill>
      <alignment horizontal="general" vertical="bottom" textRotation="0" wrapText="0" indent="0" justifyLastLine="0" shrinkToFit="0" readingOrder="0"/>
      <border diagonalUp="0" diagonalDown="0">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indexed="64"/>
        </left>
        <right/>
      </border>
      <protection locked="1" hidden="0"/>
    </dxf>
    <dxf>
      <border outline="0">
        <left style="thin">
          <color auto="1"/>
        </left>
        <right style="thin">
          <color auto="1"/>
        </right>
        <top style="thin">
          <color auto="1"/>
        </top>
      </border>
    </dxf>
    <dxf>
      <font>
        <strike val="0"/>
        <outline val="0"/>
        <shadow val="0"/>
        <u val="none"/>
        <vertAlign val="baseline"/>
        <sz val="12"/>
        <name val="Calibri"/>
        <family val="2"/>
        <scheme val="minor"/>
      </font>
      <protection locked="1" hidden="0"/>
    </dxf>
    <dxf>
      <font>
        <strike val="0"/>
        <outline val="0"/>
        <shadow val="0"/>
        <u val="none"/>
        <vertAlign val="baseline"/>
        <sz val="12"/>
        <name val="Calibri"/>
        <family val="2"/>
        <scheme val="minor"/>
      </font>
      <fill>
        <patternFill patternType="solid">
          <fgColor indexed="64"/>
          <bgColor theme="1"/>
        </patternFill>
      </fill>
      <protection locked="1" hidden="0"/>
    </dxf>
    <dxf>
      <font>
        <b val="0"/>
        <i val="0"/>
        <strike val="0"/>
        <condense val="0"/>
        <extend val="0"/>
        <outline val="0"/>
        <shadow val="0"/>
        <u val="none"/>
        <vertAlign val="baseline"/>
        <sz val="12"/>
        <color theme="1"/>
        <name val="Calibri"/>
        <family val="2"/>
        <scheme val="minor"/>
      </font>
      <numFmt numFmtId="166" formatCode="_(&quot;$&quot;* #,##0_);_(&quot;$&quot;* \(#,##0\);_(&quot;$&quot;* &quot;-&quot;??_);_(@_)"/>
      <fill>
        <patternFill patternType="none">
          <fgColor indexed="64"/>
          <bgColor auto="1"/>
        </patternFill>
      </fill>
      <alignment horizontal="general" vertical="bottom" textRotation="0" wrapText="0" indent="0" justifyLastLine="0" shrinkToFit="0" readingOrder="0"/>
      <border diagonalUp="0" diagonalDown="0">
        <left style="thin">
          <color indexed="64"/>
        </left>
        <right style="thin">
          <color auto="1"/>
        </right>
        <top style="thin">
          <color auto="1"/>
        </top>
        <bottom style="thin">
          <color auto="1"/>
        </bottom>
        <vertical/>
      </border>
      <protection locked="1" hidden="0"/>
    </dxf>
    <dxf>
      <font>
        <strike val="0"/>
        <outline val="0"/>
        <shadow val="0"/>
        <u val="none"/>
        <vertAlign val="baseline"/>
        <sz val="12"/>
        <name val="Calibri"/>
        <family val="2"/>
        <scheme val="minor"/>
      </font>
      <fill>
        <patternFill patternType="none">
          <fgColor indexed="64"/>
          <bgColor auto="1"/>
        </patternFill>
      </fill>
      <alignment vertical="bottom" textRotation="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top style="thin">
          <color auto="1"/>
        </top>
        <bottom style="thin">
          <color auto="1"/>
        </bottom>
      </border>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auto="1"/>
        </top>
        <bottom style="thin">
          <color auto="1"/>
        </bottom>
      </border>
      <protection locked="1" hidden="0"/>
    </dxf>
    <dxf>
      <border outline="0">
        <left style="thin">
          <color auto="1"/>
        </left>
        <bottom style="thin">
          <color auto="1"/>
        </bottom>
      </border>
    </dxf>
    <dxf>
      <font>
        <strike val="0"/>
        <outline val="0"/>
        <shadow val="0"/>
        <u val="none"/>
        <vertAlign val="baseline"/>
        <sz val="12"/>
        <name val="Calibri"/>
        <family val="2"/>
        <scheme val="minor"/>
      </font>
      <fill>
        <patternFill patternType="none">
          <fgColor indexed="64"/>
          <bgColor auto="1"/>
        </patternFill>
      </fill>
      <protection locked="1" hidden="0"/>
    </dxf>
    <dxf>
      <font>
        <strike val="0"/>
        <outline val="0"/>
        <shadow val="0"/>
        <u val="none"/>
        <vertAlign val="baseline"/>
        <sz val="12"/>
        <name val="Calibri"/>
        <family val="2"/>
        <scheme val="minor"/>
      </font>
      <protection locked="1" hidden="0"/>
    </dxf>
    <dxf>
      <font>
        <b val="0"/>
        <i val="0"/>
        <strike val="0"/>
        <condense val="0"/>
        <extend val="0"/>
        <outline val="0"/>
        <shadow val="0"/>
        <u val="none"/>
        <vertAlign val="baseline"/>
        <sz val="12"/>
        <color auto="1"/>
        <name val="Calibri"/>
        <family val="2"/>
        <scheme val="minor"/>
      </font>
      <numFmt numFmtId="166" formatCode="_(&quot;$&quot;* #,##0_);_(&quot;$&quot;* \(#,##0\);_(&quot;$&quot;* &quot;-&quot;??_);_(@_)"/>
      <alignment horizontal="left" vertical="bottom" textRotation="0" wrapText="0" indent="0" justifyLastLine="0" shrinkToFit="0" readingOrder="0"/>
      <border diagonalUp="0" diagonalDown="0">
        <left/>
        <right/>
        <top style="thin">
          <color theme="1"/>
        </top>
        <bottom/>
      </border>
      <protection locked="1" hidden="0"/>
    </dxf>
    <dxf>
      <font>
        <b val="0"/>
        <i val="0"/>
        <strike val="0"/>
        <condense val="0"/>
        <extend val="0"/>
        <outline val="0"/>
        <shadow val="0"/>
        <u val="none"/>
        <vertAlign val="baseline"/>
        <sz val="12"/>
        <color auto="1"/>
        <name val="Calibri"/>
        <family val="2"/>
        <scheme val="minor"/>
      </font>
      <numFmt numFmtId="166" formatCode="_(&quot;$&quot;* #,##0_);_(&quot;$&quot;* \(#,##0\);_(&quot;$&quot;* &quot;-&quot;??_);_(@_)"/>
      <alignment horizontal="left" vertical="bottom" textRotation="0" wrapText="0" indent="0" justifyLastLine="0" shrinkToFit="0" readingOrder="0"/>
      <border diagonalUp="0" diagonalDown="0">
        <left/>
        <right/>
        <top style="thin">
          <color theme="1"/>
        </top>
        <bottom/>
      </border>
      <protection locked="1" hidden="0"/>
    </dxf>
    <dxf>
      <font>
        <b val="0"/>
        <i val="0"/>
        <strike val="0"/>
        <condense val="0"/>
        <extend val="0"/>
        <outline val="0"/>
        <shadow val="0"/>
        <u val="none"/>
        <vertAlign val="baseline"/>
        <sz val="12"/>
        <color auto="1"/>
        <name val="Calibri"/>
        <family val="2"/>
        <scheme val="minor"/>
      </font>
      <protection locked="1" hidden="0"/>
    </dxf>
    <dxf>
      <font>
        <b val="0"/>
        <i val="0"/>
        <strike val="0"/>
        <condense val="0"/>
        <extend val="0"/>
        <outline val="0"/>
        <shadow val="0"/>
        <u val="none"/>
        <vertAlign val="baseline"/>
        <sz val="12"/>
        <color auto="1"/>
        <name val="Calibri"/>
        <family val="2"/>
        <scheme val="minor"/>
      </font>
      <protection locked="1" hidden="0"/>
    </dxf>
    <dxf>
      <font>
        <b val="0"/>
        <i val="0"/>
        <strike val="0"/>
        <condense val="0"/>
        <extend val="0"/>
        <outline val="0"/>
        <shadow val="0"/>
        <u val="none"/>
        <vertAlign val="baseline"/>
        <sz val="12"/>
        <color auto="1"/>
        <name val="Calibri"/>
        <family val="2"/>
        <scheme val="minor"/>
      </font>
      <protection locked="1" hidden="0"/>
    </dxf>
    <dxf>
      <font>
        <strike val="0"/>
        <outline val="0"/>
        <shadow val="0"/>
        <u val="none"/>
        <vertAlign val="baseline"/>
        <sz val="12"/>
        <name val="Calibri"/>
        <family val="2"/>
        <scheme val="minor"/>
      </font>
      <protection locked="1" hidden="0"/>
    </dxf>
    <dxf>
      <font>
        <b val="0"/>
        <i val="0"/>
        <strike val="0"/>
        <condense val="0"/>
        <extend val="0"/>
        <outline val="0"/>
        <shadow val="0"/>
        <u val="none"/>
        <vertAlign val="baseline"/>
        <sz val="12"/>
        <color theme="1"/>
        <name val="Calibri"/>
        <family val="2"/>
        <scheme val="minor"/>
      </font>
      <numFmt numFmtId="166" formatCode="_(&quot;$&quot;* #,##0_);_(&quot;$&quot;* \(#,##0\);_(&quot;$&quot;* &quot;-&quot;??_);_(@_)"/>
      <fill>
        <patternFill patternType="none">
          <fgColor indexed="64"/>
          <bgColor indexed="65"/>
        </patternFill>
      </fill>
      <alignment horizontal="general" vertical="bottom" textRotation="0" wrapText="0" indent="0" justifyLastLine="0" shrinkToFit="0" readingOrder="0"/>
      <border diagonalUp="0" diagonalDown="0">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2"/>
        <color theme="1"/>
        <name val="Calibri"/>
        <family val="2"/>
        <scheme val="minor"/>
      </font>
      <numFmt numFmtId="166" formatCode="_(&quot;$&quot;* #,##0_);_(&quot;$&quot;* \(#,##0\);_(&quot;$&quot;* &quot;-&quot;??_);_(@_)"/>
      <fill>
        <patternFill patternType="none">
          <fgColor indexed="64"/>
          <bgColor indexed="65"/>
        </patternFill>
      </fill>
      <alignment horizontal="general" vertical="bottom" textRotation="0" wrapText="0" indent="0" justifyLastLine="0" shrinkToFit="0" readingOrder="0"/>
      <border diagonalUp="0" diagonalDown="0">
        <left/>
        <right style="thin">
          <color auto="1"/>
        </right>
        <top style="thin">
          <color auto="1"/>
        </top>
        <bottom style="thin">
          <color auto="1"/>
        </bottom>
        <vertical/>
        <horizontal/>
      </border>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alignment horizontal="left"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auto="1"/>
        </left>
        <right/>
        <top/>
        <bottom/>
        <vertical/>
        <horizontal/>
      </border>
      <protection locked="1" hidden="0"/>
    </dxf>
    <dxf>
      <border outline="0">
        <left style="thin">
          <color auto="1"/>
        </left>
        <right style="thin">
          <color auto="1"/>
        </right>
        <top style="thin">
          <color auto="1"/>
        </top>
      </border>
    </dxf>
    <dxf>
      <protection locked="1" hidden="0"/>
    </dxf>
    <dxf>
      <font>
        <strike val="0"/>
        <outline val="0"/>
        <shadow val="0"/>
        <u val="none"/>
        <vertAlign val="baseline"/>
        <sz val="12"/>
        <name val="Calibri"/>
        <family val="2"/>
        <scheme val="minor"/>
      </font>
      <fill>
        <patternFill patternType="solid">
          <fgColor indexed="64"/>
          <bgColor theme="1"/>
        </patternFill>
      </fill>
      <protection locked="1" hidden="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border diagonalUp="0" diagonalDown="0">
        <left style="thin">
          <color indexed="64"/>
        </left>
        <right style="thin">
          <color auto="1"/>
        </right>
        <top style="thin">
          <color auto="1"/>
        </top>
        <bottom style="thin">
          <color auto="1"/>
        </bottom>
        <vertical/>
      </border>
      <protection locked="1" hidden="0"/>
    </dxf>
    <dxf>
      <font>
        <strike val="0"/>
        <outline val="0"/>
        <shadow val="0"/>
        <u val="none"/>
        <vertAlign val="baseline"/>
        <sz val="12"/>
        <name val="Calibri"/>
        <family val="2"/>
        <scheme val="minor"/>
      </font>
      <fill>
        <patternFill patternType="none">
          <fgColor indexed="64"/>
          <bgColor auto="1"/>
        </patternFill>
      </fill>
      <alignment vertical="bottom" textRotation="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top style="thin">
          <color auto="1"/>
        </top>
        <bottom style="thin">
          <color auto="1"/>
        </bottom>
      </border>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auto="1"/>
        </top>
        <bottom style="thin">
          <color auto="1"/>
        </bottom>
      </border>
      <protection locked="1" hidden="0"/>
    </dxf>
    <dxf>
      <border outline="0">
        <left style="thin">
          <color auto="1"/>
        </left>
        <bottom style="thin">
          <color auto="1"/>
        </bottom>
      </border>
    </dxf>
    <dxf>
      <font>
        <strike val="0"/>
        <outline val="0"/>
        <shadow val="0"/>
        <u val="none"/>
        <vertAlign val="baseline"/>
        <sz val="12"/>
        <name val="Calibri"/>
        <family val="2"/>
        <scheme val="none"/>
      </font>
      <fill>
        <patternFill patternType="none">
          <fgColor rgb="FF000000"/>
          <bgColor auto="1"/>
        </patternFill>
      </fill>
      <protection locked="1" hidden="0"/>
    </dxf>
    <dxf>
      <font>
        <strike val="0"/>
        <outline val="0"/>
        <shadow val="0"/>
        <u val="none"/>
        <vertAlign val="baseline"/>
        <sz val="12"/>
        <name val="Calibri"/>
        <family val="2"/>
        <scheme val="minor"/>
      </font>
      <protection locked="1"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border diagonalUp="0" diagonalDown="0">
        <left/>
        <right/>
        <top style="thin">
          <color theme="1"/>
        </top>
        <bottom/>
      </border>
      <protection locked="1" hidden="0"/>
    </dxf>
    <dxf>
      <font>
        <b val="0"/>
        <i val="0"/>
        <strike val="0"/>
        <condense val="0"/>
        <extend val="0"/>
        <outline val="0"/>
        <shadow val="0"/>
        <u val="none"/>
        <vertAlign val="baseline"/>
        <sz val="12"/>
        <color auto="1"/>
        <name val="Calibri"/>
        <family val="2"/>
        <scheme val="minor"/>
      </font>
      <alignment horizontal="left" vertical="bottom" textRotation="0" wrapText="0" indent="0" justifyLastLine="0" shrinkToFit="0" readingOrder="0"/>
      <border diagonalUp="0" diagonalDown="0">
        <left/>
        <right/>
        <top style="thin">
          <color theme="1"/>
        </top>
        <bottom/>
      </border>
      <protection locked="1" hidden="0"/>
    </dxf>
    <dxf>
      <font>
        <b val="0"/>
        <i val="0"/>
        <strike val="0"/>
        <condense val="0"/>
        <extend val="0"/>
        <outline val="0"/>
        <shadow val="0"/>
        <u val="none"/>
        <vertAlign val="baseline"/>
        <sz val="12"/>
        <color auto="1"/>
        <name val="Calibri"/>
        <family val="2"/>
        <scheme val="minor"/>
      </font>
      <protection locked="1" hidden="0"/>
    </dxf>
    <dxf>
      <font>
        <b val="0"/>
        <i val="0"/>
        <strike val="0"/>
        <condense val="0"/>
        <extend val="0"/>
        <outline val="0"/>
        <shadow val="0"/>
        <u val="none"/>
        <vertAlign val="baseline"/>
        <sz val="12"/>
        <color auto="1"/>
        <name val="Calibri"/>
        <family val="2"/>
        <scheme val="minor"/>
      </font>
      <protection locked="1" hidden="0"/>
    </dxf>
    <dxf>
      <font>
        <b val="0"/>
        <i val="0"/>
        <strike val="0"/>
        <condense val="0"/>
        <extend val="0"/>
        <outline val="0"/>
        <shadow val="0"/>
        <u val="none"/>
        <vertAlign val="baseline"/>
        <sz val="12"/>
        <color auto="1"/>
        <name val="Calibri"/>
        <family val="2"/>
        <scheme val="none"/>
      </font>
      <protection locked="1" hidden="0"/>
    </dxf>
    <dxf>
      <font>
        <strike val="0"/>
        <outline val="0"/>
        <shadow val="0"/>
        <u val="none"/>
        <vertAlign val="baseline"/>
        <sz val="12"/>
        <name val="Calibri"/>
        <family val="2"/>
        <scheme val="minor"/>
      </font>
      <protection locked="1" hidden="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name val="Calibri"/>
        <family val="2"/>
        <scheme val="minor"/>
      </font>
    </dxf>
    <dxf>
      <font>
        <b val="0"/>
        <i val="0"/>
        <strike val="0"/>
        <condense val="0"/>
        <extend val="0"/>
        <outline val="0"/>
        <shadow val="0"/>
        <u val="none"/>
        <vertAlign val="baseline"/>
        <sz val="12"/>
        <color theme="1"/>
        <name val="Calibri"/>
        <family val="2"/>
        <scheme val="minor"/>
      </font>
      <fill>
        <patternFill patternType="solid">
          <fgColor indexed="64"/>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2" Type="http://schemas.openxmlformats.org/officeDocument/2006/relationships/image" Target="../media/image1.tiff"/><Relationship Id="rId1" Type="http://schemas.openxmlformats.org/officeDocument/2006/relationships/image" Target="../media/image2.gif"/></Relationships>
</file>

<file path=xl/drawings/_rels/drawing5.xml.rels><?xml version="1.0" encoding="UTF-8" standalone="yes"?>
<Relationships xmlns="http://schemas.openxmlformats.org/package/2006/relationships"><Relationship Id="rId2" Type="http://schemas.openxmlformats.org/officeDocument/2006/relationships/image" Target="../media/image1.tif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499533</xdr:colOff>
      <xdr:row>2</xdr:row>
      <xdr:rowOff>35773</xdr:rowOff>
    </xdr:to>
    <xdr:pic>
      <xdr:nvPicPr>
        <xdr:cNvPr id="2" name="Picture 1">
          <a:extLst>
            <a:ext uri="{FF2B5EF4-FFF2-40B4-BE49-F238E27FC236}">
              <a16:creationId xmlns:a16="http://schemas.microsoft.com/office/drawing/2014/main" id="{A0697864-10E3-6148-A2EE-D91353619AFD}"/>
            </a:ext>
          </a:extLst>
        </xdr:cNvPr>
        <xdr:cNvPicPr>
          <a:picLocks noChangeAspect="1"/>
        </xdr:cNvPicPr>
      </xdr:nvPicPr>
      <xdr:blipFill>
        <a:blip xmlns:r="http://schemas.openxmlformats.org/officeDocument/2006/relationships" r:embed="rId1"/>
        <a:stretch>
          <a:fillRect/>
        </a:stretch>
      </xdr:blipFill>
      <xdr:spPr>
        <a:xfrm>
          <a:off x="368300" y="241300"/>
          <a:ext cx="2607733" cy="2770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347133</xdr:colOff>
      <xdr:row>2</xdr:row>
      <xdr:rowOff>35773</xdr:rowOff>
    </xdr:to>
    <xdr:pic>
      <xdr:nvPicPr>
        <xdr:cNvPr id="2" name="Picture 1">
          <a:extLst>
            <a:ext uri="{FF2B5EF4-FFF2-40B4-BE49-F238E27FC236}">
              <a16:creationId xmlns:a16="http://schemas.microsoft.com/office/drawing/2014/main" id="{D0A1C6C9-878A-BC47-9003-5D63E89EDEAA}"/>
            </a:ext>
          </a:extLst>
        </xdr:cNvPr>
        <xdr:cNvPicPr>
          <a:picLocks noChangeAspect="1"/>
        </xdr:cNvPicPr>
      </xdr:nvPicPr>
      <xdr:blipFill>
        <a:blip xmlns:r="http://schemas.openxmlformats.org/officeDocument/2006/relationships" r:embed="rId1"/>
        <a:stretch>
          <a:fillRect/>
        </a:stretch>
      </xdr:blipFill>
      <xdr:spPr>
        <a:xfrm>
          <a:off x="368300" y="241300"/>
          <a:ext cx="2607733" cy="2770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241300</xdr:colOff>
      <xdr:row>1</xdr:row>
      <xdr:rowOff>76200</xdr:rowOff>
    </xdr:from>
    <xdr:to>
      <xdr:col>4</xdr:col>
      <xdr:colOff>1261533</xdr:colOff>
      <xdr:row>2</xdr:row>
      <xdr:rowOff>111973</xdr:rowOff>
    </xdr:to>
    <xdr:pic>
      <xdr:nvPicPr>
        <xdr:cNvPr id="2" name="Picture 1">
          <a:extLst>
            <a:ext uri="{FF2B5EF4-FFF2-40B4-BE49-F238E27FC236}">
              <a16:creationId xmlns:a16="http://schemas.microsoft.com/office/drawing/2014/main" id="{D06EA089-5C95-8442-A64D-B46E687B232A}"/>
            </a:ext>
          </a:extLst>
        </xdr:cNvPr>
        <xdr:cNvPicPr>
          <a:picLocks noChangeAspect="1"/>
        </xdr:cNvPicPr>
      </xdr:nvPicPr>
      <xdr:blipFill>
        <a:blip xmlns:r="http://schemas.openxmlformats.org/officeDocument/2006/relationships" r:embed="rId1"/>
        <a:stretch>
          <a:fillRect/>
        </a:stretch>
      </xdr:blipFill>
      <xdr:spPr>
        <a:xfrm>
          <a:off x="4470400" y="317500"/>
          <a:ext cx="2607733" cy="2770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58</xdr:row>
      <xdr:rowOff>0</xdr:rowOff>
    </xdr:from>
    <xdr:to>
      <xdr:col>6</xdr:col>
      <xdr:colOff>12700</xdr:colOff>
      <xdr:row>88</xdr:row>
      <xdr:rowOff>12700</xdr:rowOff>
    </xdr:to>
    <xdr:pic>
      <xdr:nvPicPr>
        <xdr:cNvPr id="2" name="Picture 1">
          <a:extLst>
            <a:ext uri="{FF2B5EF4-FFF2-40B4-BE49-F238E27FC236}">
              <a16:creationId xmlns:a16="http://schemas.microsoft.com/office/drawing/2014/main" id="{2F19577A-AC83-A540-A3B9-F4CB252B35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6600" y="169926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529167</xdr:colOff>
      <xdr:row>0</xdr:row>
      <xdr:rowOff>158749</xdr:rowOff>
    </xdr:from>
    <xdr:to>
      <xdr:col>3</xdr:col>
      <xdr:colOff>3175</xdr:colOff>
      <xdr:row>2</xdr:row>
      <xdr:rowOff>33655</xdr:rowOff>
    </xdr:to>
    <xdr:pic>
      <xdr:nvPicPr>
        <xdr:cNvPr id="3" name="Picture 2">
          <a:extLst>
            <a:ext uri="{FF2B5EF4-FFF2-40B4-BE49-F238E27FC236}">
              <a16:creationId xmlns:a16="http://schemas.microsoft.com/office/drawing/2014/main" id="{161F8ACE-8C74-874E-B361-AE0A4460558F}"/>
            </a:ext>
          </a:extLst>
        </xdr:cNvPr>
        <xdr:cNvPicPr>
          <a:picLocks noChangeAspect="1"/>
        </xdr:cNvPicPr>
      </xdr:nvPicPr>
      <xdr:blipFill>
        <a:blip xmlns:r="http://schemas.openxmlformats.org/officeDocument/2006/relationships" r:embed="rId2"/>
        <a:stretch>
          <a:fillRect/>
        </a:stretch>
      </xdr:blipFill>
      <xdr:spPr>
        <a:xfrm>
          <a:off x="3602567" y="158749"/>
          <a:ext cx="2607733" cy="2813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65</xdr:row>
      <xdr:rowOff>0</xdr:rowOff>
    </xdr:from>
    <xdr:to>
      <xdr:col>6</xdr:col>
      <xdr:colOff>12700</xdr:colOff>
      <xdr:row>65</xdr:row>
      <xdr:rowOff>12700</xdr:rowOff>
    </xdr:to>
    <xdr:pic>
      <xdr:nvPicPr>
        <xdr:cNvPr id="3" name="Picture 2">
          <a:extLst>
            <a:ext uri="{FF2B5EF4-FFF2-40B4-BE49-F238E27FC236}">
              <a16:creationId xmlns:a16="http://schemas.microsoft.com/office/drawing/2014/main" id="{FFD17D1E-538B-9541-A9F3-3A232E4DDB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45800" y="177800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529167</xdr:colOff>
      <xdr:row>0</xdr:row>
      <xdr:rowOff>158749</xdr:rowOff>
    </xdr:from>
    <xdr:to>
      <xdr:col>3</xdr:col>
      <xdr:colOff>3175</xdr:colOff>
      <xdr:row>2</xdr:row>
      <xdr:rowOff>33655</xdr:rowOff>
    </xdr:to>
    <xdr:pic>
      <xdr:nvPicPr>
        <xdr:cNvPr id="5" name="Picture 4">
          <a:extLst>
            <a:ext uri="{FF2B5EF4-FFF2-40B4-BE49-F238E27FC236}">
              <a16:creationId xmlns:a16="http://schemas.microsoft.com/office/drawing/2014/main" id="{3FC7F386-DE69-CD45-891C-C2612F380E4A}"/>
            </a:ext>
          </a:extLst>
        </xdr:cNvPr>
        <xdr:cNvPicPr>
          <a:picLocks noChangeAspect="1"/>
        </xdr:cNvPicPr>
      </xdr:nvPicPr>
      <xdr:blipFill>
        <a:blip xmlns:r="http://schemas.openxmlformats.org/officeDocument/2006/relationships" r:embed="rId2"/>
        <a:stretch>
          <a:fillRect/>
        </a:stretch>
      </xdr:blipFill>
      <xdr:spPr>
        <a:xfrm>
          <a:off x="3598334" y="158749"/>
          <a:ext cx="2607733" cy="27707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37ECD2F-64CB-FE4C-9BF5-F879CBDDDE77}" name="Margin_tbl2" displayName="Margin_tbl2" ref="N10:O18" totalsRowShown="0" headerRowDxfId="43" dataDxfId="42">
  <autoFilter ref="N10:O18" xr:uid="{51C3947C-ECB5-F94F-8315-1DB74D347972}">
    <filterColumn colId="0" hiddenButton="1"/>
    <filterColumn colId="1" hiddenButton="1"/>
  </autoFilter>
  <tableColumns count="2">
    <tableColumn id="1" xr3:uid="{0DDBD132-BA1C-9546-8493-137B862B6338}" name="Location Qty" dataDxfId="41"/>
    <tableColumn id="2" xr3:uid="{AE2AB28C-D5DD-0143-9FD6-47CB8353973A}" name="Margin" dataDxfId="40" dataCellStyle="Percent"/>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07AF83-0A68-354D-B34D-831F8B6D92C7}" name="Package_tbl6" displayName="Package_tbl6" ref="B7:E13" totalsRowShown="0" headerRowDxfId="39" dataDxfId="38" headerRowCellStyle="Normal">
  <autoFilter ref="B7:E13" xr:uid="{5F807AF1-CB03-7241-B6B3-CE92703B4745}"/>
  <tableColumns count="4">
    <tableColumn id="1" xr3:uid="{99D671CA-308A-6248-945A-204C2D103A3D}" name="Package" dataDxfId="37"/>
    <tableColumn id="3" xr3:uid="{5D12C38D-27E1-A747-8347-FE4073249660}" name="Description" dataDxfId="36"/>
    <tableColumn id="2" xr3:uid="{6C5DBE17-6E32-1849-A099-E0E5A1E00645}" name="List Price" dataDxfId="35" dataCellStyle="Currency"/>
    <tableColumn id="4" xr3:uid="{15ED91F3-8A06-B540-9DAC-D92DCB241137}" name="Partner Price" dataDxfId="34" dataCellStyle="Currency">
      <calculatedColumnFormula>Package_tbl6[[#This Row],[List Price]]*(1-Margin)</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C3FD8CD-1F85-7743-BFBF-ADB8020D6D7C}" name="AdvFeat_tbl9" displayName="AdvFeat_tbl9" ref="B15:E34" totalsRowShown="0" headerRowDxfId="33" dataDxfId="32" tableBorderDxfId="31">
  <autoFilter ref="B15:E34" xr:uid="{38D0F13A-16BE-124F-98B5-2B23865F18EE}"/>
  <tableColumns count="4">
    <tableColumn id="1" xr3:uid="{0A745A26-0025-0B49-AD8F-EE0D7744BBDC}" name="Advanced Features" dataDxfId="30"/>
    <tableColumn id="2" xr3:uid="{8626469C-30B6-A143-A4F4-3ADA494529E1}" name="Description" dataDxfId="29"/>
    <tableColumn id="3" xr3:uid="{3609BAB1-E2B7-9943-92B3-CF517D7E3B25}" name="List Price" dataDxfId="28" dataCellStyle="Currency"/>
    <tableColumn id="4" xr3:uid="{1B3976E5-8430-D54E-9ADD-6A32C3826FE2}" name="Partner Price" dataDxfId="27" dataCellStyle="Currency"/>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3C733F4-F811-F44A-968E-1F647780E4E3}" name="Setup_tbl12" displayName="Setup_tbl12" ref="B36:E55" totalsRowShown="0" headerRowDxfId="26" dataDxfId="25" tableBorderDxfId="24">
  <autoFilter ref="B36:E55" xr:uid="{7C329ABA-E83B-4145-8EEE-8FC7CAB73811}"/>
  <tableColumns count="4">
    <tableColumn id="1" xr3:uid="{E3D48788-776B-0244-9FD0-0B8593616C9C}" name="Setup Fees &amp; Services " dataDxfId="23"/>
    <tableColumn id="2" xr3:uid="{EEEBCAB8-8BE7-C049-8FCB-41935D08FDCF}" name="Description " dataDxfId="22"/>
    <tableColumn id="3" xr3:uid="{7F43169D-20F1-3B45-8CFC-7C699F455AE9}" name="List Price" dataDxfId="21" dataCellStyle="Currency"/>
    <tableColumn id="4" xr3:uid="{2979BEB9-45AE-4443-88AD-1FDAD41B33D5}" name="Partner Price" dataDxfId="20" dataCellStyle="Currency"/>
  </tableColumns>
  <tableStyleInfo name="TableStyleMedium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5D8AA51-D089-9C48-8996-AA5BEF3DB201}" name="Package_tbl" displayName="Package_tbl" ref="B7:E14" totalsRowShown="0" headerRowDxfId="19" dataDxfId="18" headerRowCellStyle="Normal">
  <autoFilter ref="B7:E14" xr:uid="{5F807AF1-CB03-7241-B6B3-CE92703B4745}"/>
  <tableColumns count="4">
    <tableColumn id="1" xr3:uid="{32423F78-E7DC-8347-B837-E875421A6D3B}" name="Package" dataDxfId="17"/>
    <tableColumn id="3" xr3:uid="{F8277AA0-D1E2-CE4B-BA9C-A16F795E19BE}" name="Description" dataDxfId="16"/>
    <tableColumn id="2" xr3:uid="{41A4AF9F-FA66-B14B-A866-12F912ABB298}" name="List Price" dataDxfId="15" dataCellStyle="Currency"/>
    <tableColumn id="4" xr3:uid="{45C7DFE6-D741-B24F-98FB-1748D93EAA36}" name="Partner Price" dataDxfId="14" dataCellStyle="Currency"/>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EDE46DD-E3D3-2744-B800-7ECCDD500534}" name="AdvFeat_tbl" displayName="AdvFeat_tbl" ref="B16:E37" totalsRowShown="0" headerRowDxfId="13" dataDxfId="12" tableBorderDxfId="11">
  <autoFilter ref="B16:E37" xr:uid="{38D0F13A-16BE-124F-98B5-2B23865F18EE}"/>
  <tableColumns count="4">
    <tableColumn id="1" xr3:uid="{E62E7113-8A2A-AE4C-9006-A040F4CBDE25}" name="Advanced Features" dataDxfId="10"/>
    <tableColumn id="2" xr3:uid="{13158BBA-F6A7-1949-AEFA-B1043C26C148}" name="Description" dataDxfId="9"/>
    <tableColumn id="3" xr3:uid="{703A75F9-7B92-6040-AA7D-6DC7C0491519}" name="List Price" dataDxfId="8"/>
    <tableColumn id="4" xr3:uid="{5F1FAAE7-DFD6-634F-9A04-36E88BBBD5F6}" name="Partner Price" dataDxfId="7" dataCellStyle="Currency"/>
  </tableColumns>
  <tableStyleInfo name="TableStyleMedium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48F67ED-E944-144A-8DE6-DBB344EF5A7B}" name="Setup_tbl" displayName="Setup_tbl" ref="B39:E58" totalsRowShown="0" headerRowDxfId="6" dataDxfId="5" tableBorderDxfId="4">
  <autoFilter ref="B39:E58" xr:uid="{7C329ABA-E83B-4145-8EEE-8FC7CAB73811}"/>
  <tableColumns count="4">
    <tableColumn id="1" xr3:uid="{138B0984-9D9D-0445-BF67-40832273E13E}" name="Setup Fees &amp; Services " dataDxfId="3"/>
    <tableColumn id="2" xr3:uid="{1BE7CD8D-A054-6A45-9765-FF78B115E283}" name="Description " dataDxfId="2"/>
    <tableColumn id="3" xr3:uid="{AD89EEFF-084A-544F-B351-60709E31D9A9}" name="List Price" dataDxfId="1" dataCellStyle="Currency"/>
    <tableColumn id="4" xr3:uid="{49E2E138-B8CD-1745-90C5-DE3FD1FEB70D}" name="Partner Price" dataDxfId="0" dataCellStyle="Currency"/>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4.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85EC-F0D6-4F4A-AF59-B7ED1777A14B}">
  <dimension ref="B2:I80"/>
  <sheetViews>
    <sheetView showGridLines="0" tabSelected="1" zoomScaleNormal="100" workbookViewId="0">
      <selection activeCell="I5" sqref="I5"/>
    </sheetView>
  </sheetViews>
  <sheetFormatPr defaultColWidth="7.85546875" defaultRowHeight="18.75"/>
  <cols>
    <col min="1" max="1" width="4.85546875" style="22" customWidth="1"/>
    <col min="2" max="2" width="27.7109375" style="25" customWidth="1"/>
    <col min="3" max="3" width="22.42578125" style="29" customWidth="1"/>
    <col min="4" max="4" width="9" style="29" customWidth="1"/>
    <col min="5" max="5" width="11.140625" style="29" customWidth="1"/>
    <col min="6" max="6" width="17.28515625" style="22" customWidth="1"/>
    <col min="7" max="7" width="12.7109375" style="22" customWidth="1"/>
    <col min="8" max="8" width="19.42578125" style="22" customWidth="1"/>
    <col min="9" max="9" width="21.7109375" style="22" customWidth="1"/>
    <col min="10" max="16384" width="7.85546875" style="22"/>
  </cols>
  <sheetData>
    <row r="2" spans="2:9">
      <c r="B2" s="23"/>
      <c r="C2" s="24"/>
      <c r="D2" s="24"/>
      <c r="E2" s="24"/>
      <c r="F2" s="266" t="s">
        <v>0</v>
      </c>
      <c r="G2" s="266"/>
      <c r="H2" s="62">
        <f ca="1">TODAY()</f>
        <v>44669</v>
      </c>
    </row>
    <row r="3" spans="2:9">
      <c r="B3" s="23"/>
      <c r="C3" s="22"/>
      <c r="D3" s="22"/>
      <c r="E3" s="22"/>
      <c r="F3" s="267" t="s">
        <v>1</v>
      </c>
      <c r="G3" s="267"/>
      <c r="H3" s="63">
        <f ca="1">EOMONTH(H2,0)</f>
        <v>44681</v>
      </c>
    </row>
    <row r="4" spans="2:9" ht="29.1" customHeight="1">
      <c r="C4" s="268" t="s">
        <v>2</v>
      </c>
      <c r="D4" s="268"/>
      <c r="E4" s="268"/>
      <c r="F4" s="268"/>
    </row>
    <row r="5" spans="2:9" ht="27" customHeight="1">
      <c r="B5" s="146"/>
      <c r="C5" s="269" t="s">
        <v>3</v>
      </c>
      <c r="D5" s="269"/>
      <c r="E5" s="269"/>
      <c r="F5" s="269"/>
    </row>
    <row r="6" spans="2:9" ht="12" customHeight="1">
      <c r="B6" s="26"/>
      <c r="C6" s="27"/>
      <c r="D6" s="2"/>
      <c r="E6" s="2"/>
      <c r="F6" s="133"/>
    </row>
    <row r="7" spans="2:9">
      <c r="B7" s="15" t="s">
        <v>4</v>
      </c>
      <c r="C7" s="28" t="s">
        <v>5</v>
      </c>
      <c r="F7" s="15" t="s">
        <v>6</v>
      </c>
      <c r="G7" s="15"/>
      <c r="H7" s="252" t="s">
        <v>5</v>
      </c>
    </row>
    <row r="8" spans="2:9">
      <c r="B8" s="9" t="s">
        <v>7</v>
      </c>
      <c r="C8" s="64">
        <f>VLOOKUP(C7,Services_Discount,2,FALSE)</f>
        <v>0</v>
      </c>
      <c r="F8" s="16" t="s">
        <v>8</v>
      </c>
      <c r="G8" s="16"/>
      <c r="H8" s="65">
        <f>VLOOKUP(H7,MarginLookup,2,FALSE)</f>
        <v>0</v>
      </c>
    </row>
    <row r="9" spans="2:9" ht="19.5" thickBot="1">
      <c r="B9" s="8"/>
      <c r="C9" s="133"/>
      <c r="D9" s="22"/>
      <c r="G9" s="8"/>
      <c r="H9" s="31"/>
    </row>
    <row r="10" spans="2:9" ht="21.75" thickBot="1">
      <c r="B10" s="121" t="s">
        <v>9</v>
      </c>
      <c r="C10" s="270" t="s">
        <v>10</v>
      </c>
      <c r="D10" s="270"/>
      <c r="E10" s="270"/>
      <c r="F10" s="122" t="s">
        <v>11</v>
      </c>
      <c r="G10" s="123" t="s">
        <v>12</v>
      </c>
      <c r="H10" s="124" t="s">
        <v>13</v>
      </c>
    </row>
    <row r="11" spans="2:9" ht="57" customHeight="1">
      <c r="B11" s="262" t="s">
        <v>14</v>
      </c>
      <c r="C11" s="264" t="str">
        <f>IF(B11="","",VLOOKUP(B11,Package_tbl[],2,FALSE))</f>
        <v>SELECT Package</v>
      </c>
      <c r="D11" s="264"/>
      <c r="E11" s="264"/>
      <c r="F11" s="115">
        <v>1</v>
      </c>
      <c r="G11" s="157">
        <f>IF(B11="","",VLOOKUP(B11,Package_tbl[],3,FALSE))</f>
        <v>0</v>
      </c>
      <c r="H11" s="160">
        <f>IF(G11="","",G11*F11)</f>
        <v>0</v>
      </c>
    </row>
    <row r="12" spans="2:9" ht="15.95" customHeight="1">
      <c r="B12" s="263"/>
      <c r="C12" s="66" t="str">
        <f>IF(B11="Core Package","SELECT Core Option:"," ")</f>
        <v xml:space="preserve"> </v>
      </c>
      <c r="D12" s="165"/>
      <c r="E12" s="165"/>
      <c r="F12" s="165"/>
      <c r="G12" s="161"/>
      <c r="H12" s="162"/>
    </row>
    <row r="13" spans="2:9" ht="24" customHeight="1">
      <c r="B13" s="130" t="s">
        <v>15</v>
      </c>
      <c r="C13" s="128"/>
      <c r="D13" s="128"/>
      <c r="E13" s="128"/>
      <c r="F13" s="128"/>
      <c r="G13" s="128"/>
      <c r="H13" s="131"/>
    </row>
    <row r="14" spans="2:9" ht="39.950000000000003" customHeight="1">
      <c r="B14" s="118" t="s">
        <v>16</v>
      </c>
      <c r="C14" s="265" t="str">
        <f>IF(B14="","",VLOOKUP(B14,AdvFeat_tbl[],2,FALSE))</f>
        <v>Visa Virtual Credit Card - Free
Checks $1.50 Each - ACH $0.50 Each</v>
      </c>
      <c r="D14" s="265"/>
      <c r="E14" s="265"/>
      <c r="F14" s="81">
        <v>0</v>
      </c>
      <c r="G14" s="68" t="str">
        <f>IF(B14="","",VLOOKUP(B14,AdvFeat_tbl[],3,FALSE))</f>
        <v>Per
 Transaction</v>
      </c>
      <c r="H14" s="67" t="str">
        <f>IF(F14&gt;=1, "YES", "NO")</f>
        <v>NO</v>
      </c>
    </row>
    <row r="15" spans="2:9" ht="36.950000000000003" customHeight="1">
      <c r="B15" s="119" t="s">
        <v>17</v>
      </c>
      <c r="C15" s="265" t="str">
        <f>IF(B15="","",VLOOKUP(B15,AdvFeat_tbl[],2,FALSE))</f>
        <v>$900 for 1000 Invoices/month, $0.99 per invoice overage</v>
      </c>
      <c r="D15" s="265"/>
      <c r="E15" s="265"/>
      <c r="F15" s="81">
        <v>0</v>
      </c>
      <c r="G15" s="68">
        <f>IF(B15="","",VLOOKUP(B15,AdvFeat_tbl[],3,FALSE))</f>
        <v>900</v>
      </c>
      <c r="H15" s="112">
        <f>IF(G15="","",G15*F15)</f>
        <v>0</v>
      </c>
    </row>
    <row r="16" spans="2:9" ht="57" customHeight="1">
      <c r="B16" s="163" t="s">
        <v>18</v>
      </c>
      <c r="C16" s="265" t="str">
        <f>IF(B16="","",VLOOKUP(B16,AdvFeat_tbl[],2,FALSE))</f>
        <v>NA</v>
      </c>
      <c r="D16" s="265"/>
      <c r="E16" s="265"/>
      <c r="F16" s="7">
        <v>0</v>
      </c>
      <c r="G16" s="110">
        <f>IF(B16="","",VLOOKUP(B16,AdvFeat_tbl[],3,FALSE))</f>
        <v>0</v>
      </c>
      <c r="H16" s="112">
        <f>IF(G16="","",G16*F16)</f>
        <v>0</v>
      </c>
      <c r="I16" s="204" t="s">
        <v>19</v>
      </c>
    </row>
    <row r="17" spans="2:9" ht="39.950000000000003" customHeight="1">
      <c r="B17" s="163" t="s">
        <v>18</v>
      </c>
      <c r="C17" s="265" t="str">
        <f>IF(B17="","",VLOOKUP(B17,AdvFeat_tbl[],2,FALSE))</f>
        <v>NA</v>
      </c>
      <c r="D17" s="265"/>
      <c r="E17" s="265"/>
      <c r="F17" s="7">
        <v>0</v>
      </c>
      <c r="G17" s="110">
        <f>IF(B17="","",VLOOKUP(B17,AdvFeat_tbl[],3,FALSE))</f>
        <v>0</v>
      </c>
      <c r="H17" s="112">
        <f>IF(G17="","",G17*F17)</f>
        <v>0</v>
      </c>
      <c r="I17" s="204" t="s">
        <v>20</v>
      </c>
    </row>
    <row r="18" spans="2:9">
      <c r="B18" s="36" t="s">
        <v>21</v>
      </c>
      <c r="C18" s="205">
        <f>((H11+H16)/F11)*(1-H8)</f>
        <v>0</v>
      </c>
      <c r="D18" s="37"/>
      <c r="E18" s="37"/>
      <c r="F18" s="20"/>
      <c r="G18" s="114" t="s">
        <v>22</v>
      </c>
      <c r="H18" s="120">
        <f>SUM(H11:H17)</f>
        <v>0</v>
      </c>
    </row>
    <row r="19" spans="2:9">
      <c r="B19" s="36" t="s">
        <v>23</v>
      </c>
      <c r="C19" s="205">
        <f>H15+((1-H8)*H17)</f>
        <v>0</v>
      </c>
      <c r="D19" s="37"/>
      <c r="E19" s="37"/>
      <c r="F19" s="20"/>
      <c r="G19" s="114" t="s">
        <v>24</v>
      </c>
      <c r="H19" s="129">
        <f>-1*SUM(H11, H16:H17)*H8</f>
        <v>0</v>
      </c>
    </row>
    <row r="20" spans="2:9" ht="24" customHeight="1" thickBot="1">
      <c r="B20" s="33"/>
      <c r="C20" s="34"/>
      <c r="D20" s="34"/>
      <c r="E20" s="17"/>
      <c r="F20" s="18"/>
      <c r="G20" s="19" t="s">
        <v>25</v>
      </c>
      <c r="H20" s="69">
        <f>SUM(H18:H19)</f>
        <v>0</v>
      </c>
    </row>
    <row r="21" spans="2:9" ht="19.5" thickBot="1">
      <c r="G21" s="35"/>
      <c r="H21" s="35"/>
    </row>
    <row r="22" spans="2:9" ht="21.75" thickBot="1">
      <c r="B22" s="10" t="s">
        <v>26</v>
      </c>
      <c r="C22" s="270" t="s">
        <v>27</v>
      </c>
      <c r="D22" s="270"/>
      <c r="E22" s="270"/>
      <c r="F22" s="11" t="s">
        <v>11</v>
      </c>
      <c r="G22" s="12" t="s">
        <v>12</v>
      </c>
      <c r="H22" s="13" t="s">
        <v>13</v>
      </c>
    </row>
    <row r="23" spans="2:9" ht="20.100000000000001" customHeight="1">
      <c r="B23" s="80" t="s">
        <v>28</v>
      </c>
      <c r="C23" s="271" t="str">
        <f>IF(B23="","",VLOOKUP(B23,Setup_tbl[],2,FALSE))</f>
        <v>Setup, Onboarding, Training</v>
      </c>
      <c r="D23" s="271"/>
      <c r="E23" s="271"/>
      <c r="F23" s="134">
        <v>1</v>
      </c>
      <c r="G23" s="139">
        <f>MAX((H20*4),3000)</f>
        <v>3000</v>
      </c>
      <c r="H23" s="111">
        <f>IF(G23="","",G23*F23)</f>
        <v>3000</v>
      </c>
    </row>
    <row r="24" spans="2:9" ht="20.100000000000001" customHeight="1">
      <c r="B24" s="136" t="s">
        <v>29</v>
      </c>
      <c r="C24" s="265" t="str">
        <f>IF(B24="","",VLOOKUP(B24,Setup_tbl[],2,FALSE))</f>
        <v>Per instance</v>
      </c>
      <c r="D24" s="265"/>
      <c r="E24" s="265"/>
      <c r="F24" s="7">
        <v>0</v>
      </c>
      <c r="G24" s="110">
        <f>IF(B24="","",VLOOKUP(B24,Setup_tbl[],3,FALSE))</f>
        <v>500</v>
      </c>
      <c r="H24" s="112">
        <f>IF(G24="","",G24*F24)</f>
        <v>0</v>
      </c>
    </row>
    <row r="25" spans="2:9">
      <c r="B25" s="14" t="s">
        <v>30</v>
      </c>
      <c r="C25" s="265" t="str">
        <f>IF(B25="","",VLOOKUP(B25,Setup_tbl[],2,FALSE))</f>
        <v>Per database instance</v>
      </c>
      <c r="D25" s="265"/>
      <c r="E25" s="265"/>
      <c r="F25" s="7">
        <v>0</v>
      </c>
      <c r="G25" s="110">
        <f>IF(B25="","",VLOOKUP(B25,Setup_tbl[],3,FALSE))</f>
        <v>2000</v>
      </c>
      <c r="H25" s="112">
        <f>IF(G25="","",G25*F25)</f>
        <v>0</v>
      </c>
    </row>
    <row r="26" spans="2:9">
      <c r="B26" s="14" t="s">
        <v>31</v>
      </c>
      <c r="C26" s="265" t="str">
        <f>IF(B26="","",VLOOKUP(B26,Setup_tbl[],2,FALSE))</f>
        <v>Per concept</v>
      </c>
      <c r="D26" s="265"/>
      <c r="E26" s="265"/>
      <c r="F26" s="7">
        <v>0</v>
      </c>
      <c r="G26" s="110">
        <f>IF(B26="","",VLOOKUP(B26,Setup_tbl[],3,FALSE))</f>
        <v>2000</v>
      </c>
      <c r="H26" s="112">
        <f>IF(G26="","",G26*F26)</f>
        <v>0</v>
      </c>
    </row>
    <row r="27" spans="2:9">
      <c r="B27" s="36"/>
      <c r="C27" s="37"/>
      <c r="D27" s="37"/>
      <c r="E27" s="37"/>
      <c r="F27" s="20"/>
      <c r="G27" s="114" t="s">
        <v>22</v>
      </c>
      <c r="H27" s="126">
        <f>SUM(H23:H26)</f>
        <v>3000</v>
      </c>
    </row>
    <row r="28" spans="2:9" ht="24" customHeight="1">
      <c r="B28" s="36"/>
      <c r="C28" s="37"/>
      <c r="D28" s="37"/>
      <c r="E28" s="37"/>
      <c r="F28" s="20"/>
      <c r="G28" s="114" t="s">
        <v>32</v>
      </c>
      <c r="H28" s="127">
        <f>-1*H23*C8</f>
        <v>0</v>
      </c>
    </row>
    <row r="29" spans="2:9" ht="24" customHeight="1" thickBot="1">
      <c r="B29" s="33"/>
      <c r="C29" s="34"/>
      <c r="D29" s="34"/>
      <c r="E29" s="17"/>
      <c r="F29" s="18"/>
      <c r="G29" s="19" t="s">
        <v>33</v>
      </c>
      <c r="H29" s="69">
        <f>(SUM(H27:H28))</f>
        <v>3000</v>
      </c>
    </row>
    <row r="30" spans="2:9" ht="15" customHeight="1">
      <c r="B30" s="22"/>
      <c r="C30" s="22"/>
      <c r="D30" s="22"/>
      <c r="E30" s="22"/>
    </row>
    <row r="31" spans="2:9" ht="24" customHeight="1">
      <c r="B31" s="99"/>
      <c r="C31" s="100"/>
      <c r="D31" s="100"/>
      <c r="E31" s="100"/>
      <c r="F31" s="101"/>
      <c r="G31" s="103" t="s">
        <v>34</v>
      </c>
      <c r="H31" s="102">
        <f>-1*(H19*12)</f>
        <v>0</v>
      </c>
    </row>
    <row r="32" spans="2:9" ht="23.25">
      <c r="B32" s="38"/>
      <c r="C32" s="3"/>
      <c r="D32" s="3"/>
      <c r="E32" s="3"/>
      <c r="F32" s="5"/>
      <c r="G32" s="6" t="s">
        <v>35</v>
      </c>
      <c r="H32" s="70">
        <f>H29+H20</f>
        <v>3000</v>
      </c>
    </row>
    <row r="33" spans="2:8" ht="20.100000000000001" customHeight="1" thickBot="1">
      <c r="B33" s="1"/>
      <c r="C33" s="1"/>
      <c r="D33" s="1"/>
      <c r="E33" s="1"/>
    </row>
    <row r="34" spans="2:8" ht="24" customHeight="1" thickBot="1">
      <c r="B34" s="272" t="s">
        <v>36</v>
      </c>
      <c r="C34" s="273"/>
      <c r="D34" s="4"/>
      <c r="E34" s="272" t="s">
        <v>37</v>
      </c>
      <c r="F34" s="274"/>
      <c r="G34" s="274"/>
      <c r="H34" s="273"/>
    </row>
    <row r="35" spans="2:8" ht="20.100000000000001" customHeight="1">
      <c r="B35" s="39" t="s">
        <v>38</v>
      </c>
      <c r="C35" s="82" t="s">
        <v>18</v>
      </c>
      <c r="D35" s="31"/>
      <c r="E35" s="83" t="s">
        <v>39</v>
      </c>
      <c r="F35" s="84" t="s">
        <v>40</v>
      </c>
      <c r="G35" s="85" t="s">
        <v>41</v>
      </c>
      <c r="H35" s="86" t="s">
        <v>42</v>
      </c>
    </row>
    <row r="36" spans="2:8">
      <c r="B36" s="39" t="s">
        <v>43</v>
      </c>
      <c r="C36" s="40">
        <v>1</v>
      </c>
      <c r="D36" s="41"/>
      <c r="E36" s="71">
        <f ca="1">H2</f>
        <v>44669</v>
      </c>
      <c r="F36" s="72">
        <f>IF(H29=0,"Waived",(H29/C36))</f>
        <v>3000</v>
      </c>
      <c r="G36" s="73">
        <f>H20</f>
        <v>0</v>
      </c>
      <c r="H36" s="74">
        <f>SUBSTITUTE(F36,"Waived",0)+G36</f>
        <v>3000</v>
      </c>
    </row>
    <row r="37" spans="2:8">
      <c r="B37" s="43" t="s">
        <v>44</v>
      </c>
      <c r="C37" s="40" t="s">
        <v>45</v>
      </c>
      <c r="D37" s="4"/>
      <c r="E37" s="71">
        <f ca="1">EDATE(E36,1)</f>
        <v>44699</v>
      </c>
      <c r="F37" s="72" t="str">
        <f>IF(SUM(F36)=H29,"NA",(H29/C36))</f>
        <v>NA</v>
      </c>
      <c r="G37" s="75">
        <f>IF(OR(C35="30 days", C35="60 days", C35="90 days"),0, H20)</f>
        <v>0</v>
      </c>
      <c r="H37" s="74">
        <f>SUBSTITUTE(F37,"NA",0)+G37</f>
        <v>0</v>
      </c>
    </row>
    <row r="38" spans="2:8">
      <c r="B38" s="43" t="s">
        <v>46</v>
      </c>
      <c r="C38" s="45"/>
      <c r="D38" s="31"/>
      <c r="E38" s="71">
        <f ca="1">EDATE(E37,1)</f>
        <v>44730</v>
      </c>
      <c r="F38" s="72" t="str">
        <f>IF(SUM(F36:F37)=H29,"NA",(H29/C36))</f>
        <v>NA</v>
      </c>
      <c r="G38" s="75">
        <f>IF(OR(C35="60 days", C35="90 days"),0, H20)</f>
        <v>0</v>
      </c>
      <c r="H38" s="74">
        <f>SUBSTITUTE(F38,"NA",0)+G38</f>
        <v>0</v>
      </c>
    </row>
    <row r="39" spans="2:8">
      <c r="B39" s="46" t="s">
        <v>47</v>
      </c>
      <c r="C39" s="47"/>
      <c r="D39" s="41"/>
      <c r="E39" s="71">
        <f ca="1">EDATE(E38,1)</f>
        <v>44760</v>
      </c>
      <c r="F39" s="72" t="str">
        <f>IF(SUM(F36:F38)=H29,"NA",(H29/C36))</f>
        <v>NA</v>
      </c>
      <c r="G39" s="75">
        <f>IF(C35="90 days",0, H20)</f>
        <v>0</v>
      </c>
      <c r="H39" s="74">
        <f>SUBSTITUTE(F39,"NA",0)+G39</f>
        <v>0</v>
      </c>
    </row>
    <row r="40" spans="2:8" ht="19.5" thickBot="1">
      <c r="B40" s="48" t="s">
        <v>48</v>
      </c>
      <c r="C40" s="49"/>
      <c r="D40" s="41"/>
      <c r="E40" s="71">
        <f t="shared" ref="E40:E41" ca="1" si="0">EDATE(E39,1)</f>
        <v>44791</v>
      </c>
      <c r="F40" s="72" t="str">
        <f>IF(SUM(F36:F39)=H29,"NA",(H29/C36))</f>
        <v>NA</v>
      </c>
      <c r="G40" s="75">
        <f>H20</f>
        <v>0</v>
      </c>
      <c r="H40" s="74">
        <f>SUBSTITUTE(F40,"NA",0)+G40</f>
        <v>0</v>
      </c>
    </row>
    <row r="41" spans="2:8" ht="21.75" thickBot="1">
      <c r="B41" s="22"/>
      <c r="C41" s="22"/>
      <c r="D41" s="50"/>
      <c r="E41" s="76">
        <f t="shared" ca="1" si="0"/>
        <v>44822</v>
      </c>
      <c r="F41" s="77" t="str">
        <f>IF(SUM(F36:F40)=H29,"NA",(H29/C36))</f>
        <v>NA</v>
      </c>
      <c r="G41" s="78">
        <f>H20</f>
        <v>0</v>
      </c>
      <c r="H41" s="79">
        <f>SUBSTITUTE(F41,"NA",0)+G41</f>
        <v>0</v>
      </c>
    </row>
    <row r="42" spans="2:8" ht="24.95" customHeight="1">
      <c r="D42" s="50"/>
      <c r="E42" s="51"/>
      <c r="F42" s="42"/>
      <c r="G42" s="44"/>
      <c r="H42" s="35"/>
    </row>
    <row r="43" spans="2:8" ht="108" customHeight="1">
      <c r="B43" s="275" t="s">
        <v>49</v>
      </c>
      <c r="C43" s="276"/>
      <c r="D43" s="276"/>
      <c r="E43" s="276"/>
      <c r="F43" s="276"/>
      <c r="G43" s="276"/>
      <c r="H43" s="277"/>
    </row>
    <row r="44" spans="2:8">
      <c r="B44" s="135"/>
      <c r="C44" s="135"/>
      <c r="D44" s="135"/>
      <c r="E44" s="135"/>
      <c r="F44" s="135"/>
      <c r="G44" s="135"/>
      <c r="H44" s="135"/>
    </row>
    <row r="45" spans="2:8" ht="29.1" customHeight="1">
      <c r="B45" s="22"/>
      <c r="C45" s="268" t="s">
        <v>50</v>
      </c>
      <c r="D45" s="268"/>
      <c r="E45" s="268"/>
      <c r="F45" s="268"/>
    </row>
    <row r="46" spans="2:8" ht="29.25" thickBot="1">
      <c r="B46" s="22"/>
      <c r="C46" s="21"/>
      <c r="D46" s="21"/>
      <c r="E46" s="21"/>
      <c r="F46" s="21"/>
    </row>
    <row r="47" spans="2:8" ht="21.95" customHeight="1" thickBot="1">
      <c r="B47" s="278" t="s">
        <v>51</v>
      </c>
      <c r="C47" s="279"/>
      <c r="D47" s="279"/>
      <c r="E47" s="279"/>
      <c r="F47" s="279"/>
      <c r="G47" s="279"/>
      <c r="H47" s="280"/>
    </row>
    <row r="48" spans="2:8" ht="21.95" customHeight="1">
      <c r="B48" s="311" t="s">
        <v>52</v>
      </c>
      <c r="C48" s="312"/>
      <c r="D48" s="312"/>
      <c r="E48" s="312"/>
      <c r="F48" s="312"/>
      <c r="G48" s="312"/>
      <c r="H48" s="313"/>
    </row>
    <row r="49" spans="2:8">
      <c r="B49" s="253" t="s">
        <v>53</v>
      </c>
      <c r="C49" s="281"/>
      <c r="D49" s="281"/>
      <c r="E49" s="22"/>
      <c r="F49" s="256" t="s">
        <v>54</v>
      </c>
      <c r="G49" s="250"/>
      <c r="H49" s="260"/>
    </row>
    <row r="50" spans="2:8">
      <c r="B50" s="255" t="s">
        <v>55</v>
      </c>
      <c r="C50" s="282"/>
      <c r="D50" s="282"/>
      <c r="E50" s="22"/>
      <c r="F50" s="256" t="s">
        <v>56</v>
      </c>
      <c r="G50" s="251"/>
      <c r="H50" s="254"/>
    </row>
    <row r="51" spans="2:8">
      <c r="B51" s="255" t="s">
        <v>57</v>
      </c>
      <c r="C51" s="283"/>
      <c r="D51" s="283"/>
      <c r="E51" s="22"/>
      <c r="F51" s="257" t="s">
        <v>58</v>
      </c>
      <c r="G51" s="258"/>
      <c r="H51" s="259"/>
    </row>
    <row r="52" spans="2:8" ht="18.95" customHeight="1">
      <c r="B52" s="255" t="s">
        <v>59</v>
      </c>
      <c r="C52" s="283"/>
      <c r="D52" s="283"/>
      <c r="E52" s="22"/>
      <c r="F52" s="257" t="s">
        <v>60</v>
      </c>
      <c r="G52" s="258"/>
      <c r="H52" s="259"/>
    </row>
    <row r="53" spans="2:8">
      <c r="B53" s="87"/>
      <c r="C53" s="52"/>
      <c r="D53" s="52"/>
      <c r="E53" s="25"/>
      <c r="F53" s="25"/>
      <c r="G53" s="53"/>
      <c r="H53" s="88"/>
    </row>
    <row r="54" spans="2:8" ht="29.1" customHeight="1">
      <c r="B54" s="314" t="s">
        <v>61</v>
      </c>
      <c r="C54" s="315"/>
      <c r="D54" s="315"/>
      <c r="E54" s="315"/>
      <c r="F54" s="315"/>
      <c r="G54" s="315"/>
      <c r="H54" s="316"/>
    </row>
    <row r="55" spans="2:8" ht="19.5" thickBot="1">
      <c r="B55" s="98" t="s">
        <v>62</v>
      </c>
      <c r="C55" s="54" t="s">
        <v>63</v>
      </c>
      <c r="D55" s="287" t="s">
        <v>64</v>
      </c>
      <c r="E55" s="287"/>
      <c r="F55" s="287"/>
      <c r="G55" s="27" t="s">
        <v>65</v>
      </c>
      <c r="H55" s="90"/>
    </row>
    <row r="56" spans="2:8">
      <c r="B56" s="89"/>
      <c r="C56" s="54"/>
      <c r="D56" s="55"/>
      <c r="E56" s="55"/>
      <c r="F56" s="55"/>
      <c r="G56" s="27"/>
      <c r="H56" s="90"/>
    </row>
    <row r="57" spans="2:8" ht="21">
      <c r="B57" s="288" t="s">
        <v>66</v>
      </c>
      <c r="C57" s="289"/>
      <c r="D57" s="289"/>
      <c r="E57" s="289"/>
      <c r="F57" s="289"/>
      <c r="G57" s="289"/>
      <c r="H57" s="290"/>
    </row>
    <row r="58" spans="2:8" ht="21">
      <c r="B58" s="151" t="s">
        <v>67</v>
      </c>
      <c r="C58" s="152"/>
      <c r="D58" s="149"/>
      <c r="E58" s="150"/>
      <c r="F58" s="153" t="s">
        <v>68</v>
      </c>
      <c r="G58" s="147"/>
      <c r="H58" s="148"/>
    </row>
    <row r="59" spans="2:8">
      <c r="B59" s="291" t="s">
        <v>69</v>
      </c>
      <c r="C59" s="292"/>
      <c r="E59" s="293" t="s">
        <v>70</v>
      </c>
      <c r="F59" s="293"/>
      <c r="G59" s="294"/>
      <c r="H59" s="295"/>
    </row>
    <row r="60" spans="2:8">
      <c r="B60" s="96" t="s">
        <v>71</v>
      </c>
      <c r="C60" s="281"/>
      <c r="D60" s="281"/>
      <c r="E60" s="285" t="s">
        <v>72</v>
      </c>
      <c r="F60" s="285"/>
      <c r="G60" s="282"/>
      <c r="H60" s="296"/>
    </row>
    <row r="61" spans="2:8">
      <c r="B61" s="96" t="s">
        <v>73</v>
      </c>
      <c r="C61" s="284"/>
      <c r="D61" s="284"/>
      <c r="E61" s="285" t="s">
        <v>74</v>
      </c>
      <c r="F61" s="285"/>
      <c r="G61" s="283"/>
      <c r="H61" s="286"/>
    </row>
    <row r="62" spans="2:8" ht="18.95" customHeight="1">
      <c r="B62" s="97" t="s">
        <v>75</v>
      </c>
      <c r="C62" s="284"/>
      <c r="D62" s="284"/>
      <c r="E62" s="285" t="s">
        <v>76</v>
      </c>
      <c r="F62" s="285"/>
      <c r="G62" s="283"/>
      <c r="H62" s="286"/>
    </row>
    <row r="63" spans="2:8">
      <c r="B63" s="97" t="s">
        <v>77</v>
      </c>
      <c r="C63" s="284"/>
      <c r="D63" s="284"/>
      <c r="E63" s="285" t="s">
        <v>78</v>
      </c>
      <c r="F63" s="285"/>
      <c r="G63" s="283" t="s">
        <v>79</v>
      </c>
      <c r="H63" s="286"/>
    </row>
    <row r="64" spans="2:8">
      <c r="B64" s="96" t="s">
        <v>80</v>
      </c>
      <c r="C64" s="284"/>
      <c r="D64" s="284"/>
      <c r="E64" s="285" t="s">
        <v>81</v>
      </c>
      <c r="F64" s="285"/>
      <c r="G64" s="317"/>
      <c r="H64" s="318"/>
    </row>
    <row r="65" spans="2:8" ht="33.950000000000003" customHeight="1" thickBot="1">
      <c r="B65" s="91" t="s">
        <v>82</v>
      </c>
      <c r="C65" s="92" t="s">
        <v>83</v>
      </c>
      <c r="D65" s="92"/>
      <c r="E65" s="93"/>
      <c r="F65" s="94"/>
      <c r="G65" s="94"/>
      <c r="H65" s="95"/>
    </row>
    <row r="66" spans="2:8" ht="19.5" thickBot="1">
      <c r="E66" s="56"/>
    </row>
    <row r="67" spans="2:8" ht="21.75" thickBot="1">
      <c r="B67" s="298" t="s">
        <v>84</v>
      </c>
      <c r="C67" s="299"/>
      <c r="D67" s="299"/>
      <c r="E67" s="299"/>
      <c r="F67" s="299"/>
      <c r="G67" s="299"/>
      <c r="H67" s="300"/>
    </row>
    <row r="68" spans="2:8" ht="65.099999999999994" customHeight="1">
      <c r="B68" s="301" t="s">
        <v>85</v>
      </c>
      <c r="C68" s="301"/>
      <c r="D68" s="301"/>
      <c r="E68" s="301"/>
      <c r="F68" s="301"/>
      <c r="G68" s="301"/>
      <c r="H68" s="301"/>
    </row>
    <row r="70" spans="2:8" ht="27.95" customHeight="1" thickBot="1">
      <c r="B70" s="57" t="s">
        <v>86</v>
      </c>
      <c r="C70" s="297"/>
      <c r="D70" s="297"/>
      <c r="E70" s="58"/>
      <c r="F70" s="57" t="s">
        <v>87</v>
      </c>
      <c r="G70" s="58"/>
      <c r="H70" s="59"/>
    </row>
    <row r="71" spans="2:8" ht="27.95" customHeight="1" thickBot="1">
      <c r="B71" s="61" t="s">
        <v>88</v>
      </c>
      <c r="C71" s="302"/>
      <c r="D71" s="302"/>
      <c r="E71" s="58"/>
      <c r="F71" s="60" t="s">
        <v>88</v>
      </c>
      <c r="G71" s="297"/>
      <c r="H71" s="297"/>
    </row>
    <row r="72" spans="2:8" ht="27.95" customHeight="1" thickBot="1">
      <c r="B72" s="61" t="s">
        <v>89</v>
      </c>
      <c r="C72" s="302"/>
      <c r="D72" s="302"/>
      <c r="E72" s="58"/>
      <c r="F72" s="61" t="s">
        <v>89</v>
      </c>
      <c r="G72" s="302"/>
      <c r="H72" s="302"/>
    </row>
    <row r="73" spans="2:8" ht="27.95" customHeight="1" thickBot="1">
      <c r="B73" s="61" t="s">
        <v>90</v>
      </c>
      <c r="C73" s="302"/>
      <c r="D73" s="302"/>
      <c r="E73" s="58"/>
      <c r="F73" s="60" t="s">
        <v>90</v>
      </c>
      <c r="G73" s="302"/>
      <c r="H73" s="302"/>
    </row>
    <row r="74" spans="2:8" ht="27.95" customHeight="1" thickBot="1">
      <c r="B74" s="61" t="s">
        <v>91</v>
      </c>
      <c r="C74" s="302"/>
      <c r="D74" s="302"/>
      <c r="E74" s="58"/>
      <c r="F74" s="61" t="s">
        <v>91</v>
      </c>
      <c r="G74" s="302"/>
      <c r="H74" s="302"/>
    </row>
    <row r="77" spans="2:8" ht="27" customHeight="1"/>
    <row r="78" spans="2:8" ht="27" customHeight="1"/>
    <row r="79" spans="2:8" ht="27" customHeight="1"/>
    <row r="80" spans="2:8" ht="27" customHeight="1"/>
  </sheetData>
  <sheetProtection insertColumns="0" insertRows="0" insertHyperlinks="0" deleteRows="0"/>
  <mergeCells count="57">
    <mergeCell ref="C74:D74"/>
    <mergeCell ref="G74:H74"/>
    <mergeCell ref="C71:D71"/>
    <mergeCell ref="G71:H71"/>
    <mergeCell ref="C72:D72"/>
    <mergeCell ref="G72:H72"/>
    <mergeCell ref="C73:D73"/>
    <mergeCell ref="G73:H73"/>
    <mergeCell ref="C70:D70"/>
    <mergeCell ref="C62:D62"/>
    <mergeCell ref="E62:F62"/>
    <mergeCell ref="G62:H62"/>
    <mergeCell ref="C63:D63"/>
    <mergeCell ref="E63:F63"/>
    <mergeCell ref="G63:H63"/>
    <mergeCell ref="C64:D64"/>
    <mergeCell ref="E64:F64"/>
    <mergeCell ref="G64:H64"/>
    <mergeCell ref="B67:H67"/>
    <mergeCell ref="B68:H68"/>
    <mergeCell ref="E61:F61"/>
    <mergeCell ref="G61:H61"/>
    <mergeCell ref="B54:H54"/>
    <mergeCell ref="D55:F55"/>
    <mergeCell ref="B57:H57"/>
    <mergeCell ref="B59:C59"/>
    <mergeCell ref="E59:H59"/>
    <mergeCell ref="C60:D60"/>
    <mergeCell ref="E60:F60"/>
    <mergeCell ref="G60:H60"/>
    <mergeCell ref="C49:D49"/>
    <mergeCell ref="C50:D50"/>
    <mergeCell ref="C51:D51"/>
    <mergeCell ref="C52:D52"/>
    <mergeCell ref="C61:D61"/>
    <mergeCell ref="B48:H48"/>
    <mergeCell ref="C22:E22"/>
    <mergeCell ref="C23:E23"/>
    <mergeCell ref="C24:E24"/>
    <mergeCell ref="C25:E25"/>
    <mergeCell ref="C26:E26"/>
    <mergeCell ref="B34:C34"/>
    <mergeCell ref="E34:H34"/>
    <mergeCell ref="B43:H43"/>
    <mergeCell ref="C45:F45"/>
    <mergeCell ref="B47:H47"/>
    <mergeCell ref="C17:E17"/>
    <mergeCell ref="F2:G2"/>
    <mergeCell ref="F3:G3"/>
    <mergeCell ref="C4:F4"/>
    <mergeCell ref="C5:F5"/>
    <mergeCell ref="C10:E10"/>
    <mergeCell ref="B11:B12"/>
    <mergeCell ref="C11:E11"/>
    <mergeCell ref="C14:E14"/>
    <mergeCell ref="C15:E15"/>
    <mergeCell ref="C16:E16"/>
  </mergeCells>
  <dataValidations count="4">
    <dataValidation showInputMessage="1" showErrorMessage="1" sqref="C8 B14" xr:uid="{E8A7D6C3-BAAD-DB46-801B-B7465B56299A}"/>
    <dataValidation type="list" showInputMessage="1" showErrorMessage="1" sqref="C36" xr:uid="{FE2D6363-584A-3742-A62A-E5C9DA8EC837}">
      <formula1>ServicePayments</formula1>
    </dataValidation>
    <dataValidation type="list" showInputMessage="1" showErrorMessage="1" sqref="C37" xr:uid="{B02A9F8D-84F5-5641-A88C-D337CECAA320}">
      <formula1>Subscription</formula1>
    </dataValidation>
    <dataValidation type="list" showInputMessage="1" showErrorMessage="1" sqref="H7" xr:uid="{55B3D956-4BE0-BC49-9DB3-F2C432E9A8A7}">
      <formula1>LocationQty</formula1>
    </dataValidation>
  </dataValidations>
  <printOptions horizontalCentered="1"/>
  <pageMargins left="0.2" right="0.2" top="0.25" bottom="0.25" header="0" footer="0"/>
  <pageSetup scale="60" fitToHeight="2" orientation="portrait" horizontalDpi="0" verticalDpi="0"/>
  <headerFooter>
    <oddFooter>&amp;C&amp;"Calibri (Body),Regular"Page &amp;P of &amp;N</oddFooter>
  </headerFooter>
  <rowBreaks count="1" manualBreakCount="1">
    <brk id="44" max="7" man="1"/>
  </rowBreaks>
  <drawing r:id="rId1"/>
  <extLst>
    <ext xmlns:x14="http://schemas.microsoft.com/office/spreadsheetml/2009/9/main" uri="{CCE6A557-97BC-4b89-ADB6-D9C93CAAB3DF}">
      <x14:dataValidations xmlns:xm="http://schemas.microsoft.com/office/excel/2006/main" count="10">
        <x14:dataValidation type="list" showInputMessage="1" showErrorMessage="1" xr:uid="{3C5711B8-06D0-4447-B580-2174C838ED4D}">
          <x14:formula1>
            <xm:f>'Products - Internal'!$B$9:$B$13</xm:f>
          </x14:formula1>
          <xm:sqref>B13</xm:sqref>
        </x14:dataValidation>
        <x14:dataValidation type="list" allowBlank="1" showInputMessage="1" showErrorMessage="1" xr:uid="{FC04A847-B95B-0D42-9418-6FD5B81950CF}">
          <x14:formula1>
            <xm:f>'Products - Internal'!$D$62:$D$64</xm:f>
          </x14:formula1>
          <xm:sqref>D12</xm:sqref>
        </x14:dataValidation>
        <x14:dataValidation type="list" showInputMessage="1" showErrorMessage="1" xr:uid="{E07975B3-792C-4144-A04E-28B4AEBE45B6}">
          <x14:formula1>
            <xm:f>'Products - Internal'!$C$86:$C$89</xm:f>
          </x14:formula1>
          <xm:sqref>C35</xm:sqref>
        </x14:dataValidation>
        <x14:dataValidation type="list" showInputMessage="1" showErrorMessage="1" xr:uid="{D934858F-0493-AB41-ADF6-222DE5938A13}">
          <x14:formula1>
            <xm:f>'Products - Internal'!$B$101:$B$106</xm:f>
          </x14:formula1>
          <xm:sqref>C7</xm:sqref>
        </x14:dataValidation>
        <x14:dataValidation type="list" showInputMessage="1" showErrorMessage="1" xr:uid="{77FD427D-882E-E94E-AE8C-A10E702A1B1A}">
          <x14:formula1>
            <xm:f>'Products - Internal'!$B$40:$B$41</xm:f>
          </x14:formula1>
          <xm:sqref>B23</xm:sqref>
        </x14:dataValidation>
        <x14:dataValidation type="list" showInputMessage="1" showErrorMessage="1" xr:uid="{A959A6A5-F5E4-3341-B6F0-5D8A47608DCD}">
          <x14:formula1>
            <xm:f>'Products - Internal'!$B$42</xm:f>
          </x14:formula1>
          <xm:sqref>B24</xm:sqref>
        </x14:dataValidation>
        <x14:dataValidation type="list" showInputMessage="1" showErrorMessage="1" xr:uid="{CD0F38EE-6D35-9F4A-9C94-33A2BB533042}">
          <x14:formula1>
            <xm:f>'Products - Internal'!$B$22:$B$25</xm:f>
          </x14:formula1>
          <xm:sqref>B15</xm:sqref>
        </x14:dataValidation>
        <x14:dataValidation type="list" showInputMessage="1" showErrorMessage="1" xr:uid="{E717F34C-0B2D-974A-809B-543BF346FE15}">
          <x14:formula1>
            <xm:f>'Products - Internal'!$B$8:$B$14</xm:f>
          </x14:formula1>
          <xm:sqref>B11:B12</xm:sqref>
        </x14:dataValidation>
        <x14:dataValidation type="list" showInputMessage="1" showErrorMessage="1" xr:uid="{B3A8DC77-DD00-1A49-9C62-B7487B92A427}">
          <x14:formula1>
            <xm:f>'Products - Internal'!$B$26:$B$37</xm:f>
          </x14:formula1>
          <xm:sqref>B16:B17</xm:sqref>
        </x14:dataValidation>
        <x14:dataValidation type="list" showInputMessage="1" showErrorMessage="1" xr:uid="{C363DFC0-15CA-9849-B7CD-4079544D49D4}">
          <x14:formula1>
            <xm:f>'Products - Internal'!$B$40:$B$58</xm:f>
          </x14:formula1>
          <xm:sqref>B25:B26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494C8-2F0E-DC42-BDE4-20C706B36987}">
  <dimension ref="B2:I84"/>
  <sheetViews>
    <sheetView showGridLines="0" topLeftCell="A59" zoomScaleNormal="100" workbookViewId="0">
      <selection activeCell="K72" sqref="K72"/>
    </sheetView>
  </sheetViews>
  <sheetFormatPr defaultColWidth="7.85546875" defaultRowHeight="18.75"/>
  <cols>
    <col min="1" max="1" width="4.85546875" style="22" customWidth="1"/>
    <col min="2" max="2" width="29.7109375" style="25" customWidth="1"/>
    <col min="3" max="3" width="22.42578125" style="29" customWidth="1"/>
    <col min="4" max="4" width="9" style="29" customWidth="1"/>
    <col min="5" max="5" width="11.140625" style="29" customWidth="1"/>
    <col min="6" max="6" width="17.28515625" style="22" customWidth="1"/>
    <col min="7" max="7" width="14.28515625" style="22" customWidth="1"/>
    <col min="8" max="8" width="19.42578125" style="22" customWidth="1"/>
    <col min="9" max="9" width="17.28515625" style="22" customWidth="1"/>
    <col min="10" max="10" width="21.7109375" style="22" customWidth="1"/>
    <col min="11" max="16384" width="7.85546875" style="22"/>
  </cols>
  <sheetData>
    <row r="2" spans="2:9">
      <c r="B2" s="23"/>
      <c r="C2" s="24"/>
      <c r="D2" s="24"/>
      <c r="E2" s="24"/>
      <c r="F2" s="266" t="s">
        <v>0</v>
      </c>
      <c r="G2" s="266"/>
      <c r="H2" s="62">
        <f ca="1">TODAY()</f>
        <v>44669</v>
      </c>
    </row>
    <row r="3" spans="2:9">
      <c r="B3" s="23"/>
      <c r="C3" s="22"/>
      <c r="D3" s="22"/>
      <c r="E3" s="22"/>
      <c r="F3" s="267" t="s">
        <v>1</v>
      </c>
      <c r="G3" s="267"/>
      <c r="H3" s="63">
        <f ca="1">EOMONTH(H2,0)</f>
        <v>44681</v>
      </c>
    </row>
    <row r="4" spans="2:9" ht="29.1" customHeight="1">
      <c r="C4" s="268" t="s">
        <v>2</v>
      </c>
      <c r="D4" s="268"/>
      <c r="E4" s="268"/>
      <c r="F4" s="268"/>
    </row>
    <row r="5" spans="2:9" ht="27" customHeight="1">
      <c r="B5" s="146"/>
      <c r="C5" s="269" t="s">
        <v>3</v>
      </c>
      <c r="D5" s="269"/>
      <c r="E5" s="269"/>
      <c r="F5" s="269"/>
    </row>
    <row r="6" spans="2:9" ht="12" customHeight="1">
      <c r="B6" s="26"/>
      <c r="C6" s="27"/>
      <c r="D6" s="2"/>
      <c r="E6" s="2"/>
      <c r="F6" s="133"/>
    </row>
    <row r="7" spans="2:9">
      <c r="B7" s="15" t="s">
        <v>4</v>
      </c>
      <c r="C7" s="261" t="s">
        <v>5</v>
      </c>
      <c r="F7" s="15" t="s">
        <v>6</v>
      </c>
      <c r="G7" s="15"/>
      <c r="H7" s="252" t="s">
        <v>5</v>
      </c>
    </row>
    <row r="8" spans="2:9">
      <c r="B8" s="9" t="s">
        <v>7</v>
      </c>
      <c r="C8" s="64">
        <f>VLOOKUP(C7,Services_Discount,2,FALSE)</f>
        <v>0</v>
      </c>
      <c r="F8" s="16" t="s">
        <v>8</v>
      </c>
      <c r="G8" s="16"/>
      <c r="H8" s="65">
        <f>VLOOKUP(H7,MarginLookup,2,FALSE)</f>
        <v>0</v>
      </c>
    </row>
    <row r="9" spans="2:9" ht="19.5" thickBot="1">
      <c r="B9" s="8"/>
      <c r="C9" s="133"/>
      <c r="D9" s="22"/>
      <c r="G9" s="8"/>
      <c r="H9" s="31"/>
    </row>
    <row r="10" spans="2:9" ht="21.75" thickBot="1">
      <c r="B10" s="121" t="s">
        <v>9</v>
      </c>
      <c r="C10" s="270" t="s">
        <v>10</v>
      </c>
      <c r="D10" s="270"/>
      <c r="E10" s="270"/>
      <c r="F10" s="122" t="s">
        <v>11</v>
      </c>
      <c r="G10" s="123" t="s">
        <v>12</v>
      </c>
      <c r="H10" s="124" t="s">
        <v>13</v>
      </c>
    </row>
    <row r="11" spans="2:9" ht="57" customHeight="1">
      <c r="B11" s="262" t="s">
        <v>14</v>
      </c>
      <c r="C11" s="264" t="str">
        <f>IF(B11="","",VLOOKUP(B11,Package_tbl[],2,FALSE))</f>
        <v>SELECT Package</v>
      </c>
      <c r="D11" s="264"/>
      <c r="E11" s="264"/>
      <c r="F11" s="115">
        <v>1</v>
      </c>
      <c r="G11" s="157">
        <f>IF(B11="","",VLOOKUP(B11,Package_tbl[],3,FALSE))</f>
        <v>0</v>
      </c>
      <c r="H11" s="160">
        <f>IF(G11="","",G11*F11)</f>
        <v>0</v>
      </c>
      <c r="I11" s="32"/>
    </row>
    <row r="12" spans="2:9" ht="15.95" customHeight="1">
      <c r="B12" s="263"/>
      <c r="C12" s="66" t="str">
        <f>IF(B11="Core Package","SELECT Core Option:"," ")</f>
        <v xml:space="preserve"> </v>
      </c>
      <c r="D12" s="132"/>
      <c r="E12" s="132"/>
      <c r="F12" s="159"/>
      <c r="G12" s="156"/>
      <c r="H12" s="158"/>
    </row>
    <row r="13" spans="2:9" ht="24" customHeight="1">
      <c r="B13" s="130" t="s">
        <v>15</v>
      </c>
      <c r="C13" s="128"/>
      <c r="D13" s="128"/>
      <c r="E13" s="128"/>
      <c r="F13" s="128"/>
      <c r="G13" s="128"/>
      <c r="H13" s="131"/>
      <c r="I13" s="32"/>
    </row>
    <row r="14" spans="2:9" ht="56.25">
      <c r="B14" s="118" t="s">
        <v>16</v>
      </c>
      <c r="C14" s="271" t="str">
        <f>IF(B14="","",VLOOKUP(B14,AdvFeat_tbl[],2,FALSE))</f>
        <v>Visa Virtual Credit Card - Free
Checks $1.50 Each - ACH $0.50 Each</v>
      </c>
      <c r="D14" s="271"/>
      <c r="E14" s="271"/>
      <c r="F14" s="81">
        <v>0</v>
      </c>
      <c r="G14" s="68" t="str">
        <f>IF(B14="","",VLOOKUP(B14,AdvFeat_tbl[],3,FALSE))</f>
        <v>Per
 Transaction</v>
      </c>
      <c r="H14" s="67" t="str">
        <f>IF(F14&gt;=1, "YES", "NO")</f>
        <v>NO</v>
      </c>
      <c r="I14" s="32"/>
    </row>
    <row r="15" spans="2:9" ht="36.950000000000003" customHeight="1">
      <c r="B15" s="119" t="s">
        <v>17</v>
      </c>
      <c r="C15" s="265" t="str">
        <f>IF(B15="","",VLOOKUP(B15,AdvFeat_tbl[],2,FALSE))</f>
        <v>$900 for 1000 Invoices/month, $0.99 per invoice overage</v>
      </c>
      <c r="D15" s="265"/>
      <c r="E15" s="265"/>
      <c r="F15" s="81">
        <v>0</v>
      </c>
      <c r="G15" s="68">
        <f>IF(B15="","",VLOOKUP(B15,AdvFeat_tbl[],3,FALSE))</f>
        <v>900</v>
      </c>
      <c r="H15" s="112">
        <f>IF(G15="","",G15*F15)</f>
        <v>0</v>
      </c>
      <c r="I15" s="32"/>
    </row>
    <row r="16" spans="2:9" ht="57" customHeight="1">
      <c r="B16" s="163" t="s">
        <v>18</v>
      </c>
      <c r="C16" s="265" t="str">
        <f>IF(B16="","",VLOOKUP(B16,AdvFeat_tbl[],2,FALSE))</f>
        <v>NA</v>
      </c>
      <c r="D16" s="265"/>
      <c r="E16" s="265"/>
      <c r="F16" s="7">
        <v>0</v>
      </c>
      <c r="G16" s="110">
        <f>IF(B16="","",VLOOKUP(B16,AdvFeat_tbl[],3,FALSE))</f>
        <v>0</v>
      </c>
      <c r="H16" s="112">
        <f>IF(G16="","",G16*F16)</f>
        <v>0</v>
      </c>
      <c r="I16" s="204" t="s">
        <v>19</v>
      </c>
    </row>
    <row r="17" spans="2:9" ht="39.950000000000003" customHeight="1">
      <c r="B17" s="163" t="s">
        <v>18</v>
      </c>
      <c r="C17" s="265" t="str">
        <f>IF(B17="","",VLOOKUP(B17,AdvFeat_tbl[],2,FALSE))</f>
        <v>NA</v>
      </c>
      <c r="D17" s="265"/>
      <c r="E17" s="265"/>
      <c r="F17" s="7">
        <v>0</v>
      </c>
      <c r="G17" s="110">
        <f>IF(B17="","",VLOOKUP(B17,AdvFeat_tbl[],3,FALSE))</f>
        <v>0</v>
      </c>
      <c r="H17" s="112">
        <f>IF(G17="","",G17*F17)</f>
        <v>0</v>
      </c>
      <c r="I17" s="204" t="s">
        <v>20</v>
      </c>
    </row>
    <row r="18" spans="2:9" ht="21.95" customHeight="1">
      <c r="B18" s="116" t="s">
        <v>92</v>
      </c>
      <c r="C18" s="113"/>
      <c r="D18" s="113"/>
      <c r="E18" s="113"/>
      <c r="F18" s="113"/>
      <c r="G18" s="113"/>
      <c r="H18" s="117"/>
      <c r="I18" s="22" t="s">
        <v>93</v>
      </c>
    </row>
    <row r="19" spans="2:9" ht="39" customHeight="1">
      <c r="B19" s="137" t="s">
        <v>18</v>
      </c>
      <c r="C19" s="265" t="str">
        <f>IF(B19="","",VLOOKUP(B19,AdvFeat_tbl[],2,FALSE))</f>
        <v>NA</v>
      </c>
      <c r="D19" s="265"/>
      <c r="E19" s="265"/>
      <c r="F19" s="104">
        <v>0</v>
      </c>
      <c r="G19" s="110">
        <f>IF(B19="","",VLOOKUP(B19,AdvFeat_tbl[],3,FALSE))</f>
        <v>0</v>
      </c>
      <c r="H19" s="138">
        <f t="shared" ref="H19:H20" si="0">IF(G19="","",G19*F19)</f>
        <v>0</v>
      </c>
      <c r="I19" s="22" t="s">
        <v>93</v>
      </c>
    </row>
    <row r="20" spans="2:9" ht="39" customHeight="1">
      <c r="B20" s="137" t="s">
        <v>18</v>
      </c>
      <c r="C20" s="265" t="str">
        <f>IF(B20="","",VLOOKUP(B20,AdvFeat_tbl[],2,FALSE))</f>
        <v>NA</v>
      </c>
      <c r="D20" s="265"/>
      <c r="E20" s="265"/>
      <c r="F20" s="104">
        <v>0</v>
      </c>
      <c r="G20" s="110">
        <f>IF(B20="","",VLOOKUP(B20,AdvFeat_tbl[],3,FALSE))</f>
        <v>0</v>
      </c>
      <c r="H20" s="138">
        <f t="shared" si="0"/>
        <v>0</v>
      </c>
      <c r="I20" s="22" t="s">
        <v>93</v>
      </c>
    </row>
    <row r="21" spans="2:9">
      <c r="B21" s="36"/>
      <c r="C21" s="37"/>
      <c r="D21" s="37"/>
      <c r="E21" s="37"/>
      <c r="F21" s="20"/>
      <c r="G21" s="114" t="s">
        <v>22</v>
      </c>
      <c r="H21" s="120">
        <f>SUM(H11:H20)</f>
        <v>0</v>
      </c>
    </row>
    <row r="22" spans="2:9">
      <c r="B22" s="36" t="s">
        <v>21</v>
      </c>
      <c r="C22" s="205">
        <f>((H11+H16)/F11)*(1-H8)</f>
        <v>0</v>
      </c>
      <c r="D22" s="37"/>
      <c r="E22" s="37"/>
      <c r="F22" s="20"/>
      <c r="G22" s="114" t="s">
        <v>24</v>
      </c>
      <c r="H22" s="129">
        <f>-1*SUM(H11, H16:H17)*H8</f>
        <v>0</v>
      </c>
    </row>
    <row r="23" spans="2:9">
      <c r="B23" s="36" t="s">
        <v>23</v>
      </c>
      <c r="C23" s="205">
        <f>H15+((1-H8)*H17)</f>
        <v>0</v>
      </c>
      <c r="D23" s="37"/>
      <c r="E23" s="37"/>
      <c r="F23" s="20"/>
      <c r="G23" s="114" t="s">
        <v>94</v>
      </c>
      <c r="H23" s="125">
        <f>-1*SUM(H19:H20)</f>
        <v>0</v>
      </c>
      <c r="I23" s="22" t="s">
        <v>93</v>
      </c>
    </row>
    <row r="24" spans="2:9" ht="24" customHeight="1" thickBot="1">
      <c r="B24" s="33"/>
      <c r="C24" s="34"/>
      <c r="D24" s="34"/>
      <c r="E24" s="17"/>
      <c r="F24" s="18"/>
      <c r="G24" s="19" t="s">
        <v>25</v>
      </c>
      <c r="H24" s="69">
        <f>SUM(H21:H23)</f>
        <v>0</v>
      </c>
    </row>
    <row r="25" spans="2:9" ht="19.5" thickBot="1">
      <c r="G25" s="35"/>
      <c r="H25" s="35"/>
    </row>
    <row r="26" spans="2:9" ht="21.75" thickBot="1">
      <c r="B26" s="10" t="s">
        <v>26</v>
      </c>
      <c r="C26" s="270" t="s">
        <v>27</v>
      </c>
      <c r="D26" s="270"/>
      <c r="E26" s="270"/>
      <c r="F26" s="11" t="s">
        <v>11</v>
      </c>
      <c r="G26" s="12" t="s">
        <v>12</v>
      </c>
      <c r="H26" s="13" t="s">
        <v>13</v>
      </c>
    </row>
    <row r="27" spans="2:9" ht="20.100000000000001" customHeight="1">
      <c r="B27" s="80" t="s">
        <v>28</v>
      </c>
      <c r="C27" s="271" t="str">
        <f>IF(B27="","",VLOOKUP(B27,Setup_tbl[],2,FALSE))</f>
        <v>Setup, Onboarding, Training</v>
      </c>
      <c r="D27" s="271"/>
      <c r="E27" s="271"/>
      <c r="F27" s="134">
        <v>1</v>
      </c>
      <c r="G27" s="139">
        <f>MAX((H24*4), 3000)</f>
        <v>3000</v>
      </c>
      <c r="H27" s="111">
        <f>IF(G27="","",G27*F27)</f>
        <v>3000</v>
      </c>
    </row>
    <row r="28" spans="2:9" ht="20.100000000000001" customHeight="1">
      <c r="B28" s="136" t="s">
        <v>29</v>
      </c>
      <c r="C28" s="265" t="str">
        <f>IF(B28="","",VLOOKUP(B28,Setup_tbl[],2,FALSE))</f>
        <v>Per instance</v>
      </c>
      <c r="D28" s="265"/>
      <c r="E28" s="265"/>
      <c r="F28" s="7">
        <v>0</v>
      </c>
      <c r="G28" s="110">
        <f>IF(B28="","",VLOOKUP(B28,Setup_tbl[],3,FALSE))</f>
        <v>500</v>
      </c>
      <c r="H28" s="112">
        <f>IF(G28="","",G28*F28)</f>
        <v>0</v>
      </c>
    </row>
    <row r="29" spans="2:9">
      <c r="B29" s="14" t="s">
        <v>30</v>
      </c>
      <c r="C29" s="265" t="str">
        <f>IF(B29="","",VLOOKUP(B29,Setup_tbl[],2,FALSE))</f>
        <v>Per database instance</v>
      </c>
      <c r="D29" s="265"/>
      <c r="E29" s="265"/>
      <c r="F29" s="7">
        <v>0</v>
      </c>
      <c r="G29" s="110">
        <f>IF(B29="","",VLOOKUP(B29,Setup_tbl[],3,FALSE))</f>
        <v>2000</v>
      </c>
      <c r="H29" s="112">
        <f>IF(G29="","",G29*F29)</f>
        <v>0</v>
      </c>
    </row>
    <row r="30" spans="2:9">
      <c r="B30" s="14" t="s">
        <v>31</v>
      </c>
      <c r="C30" s="265" t="str">
        <f>IF(B30="","",VLOOKUP(B30,Setup_tbl[],2,FALSE))</f>
        <v>Per concept</v>
      </c>
      <c r="D30" s="265"/>
      <c r="E30" s="265"/>
      <c r="F30" s="7">
        <v>0</v>
      </c>
      <c r="G30" s="110">
        <f>IF(B30="","",VLOOKUP(B30,Setup_tbl[],3,FALSE))</f>
        <v>2000</v>
      </c>
      <c r="H30" s="112">
        <f>IF(G30="","",G30*F30)</f>
        <v>0</v>
      </c>
    </row>
    <row r="31" spans="2:9">
      <c r="B31" s="36"/>
      <c r="C31" s="37"/>
      <c r="D31" s="37"/>
      <c r="E31" s="37"/>
      <c r="F31" s="20"/>
      <c r="G31" s="114" t="s">
        <v>22</v>
      </c>
      <c r="H31" s="126">
        <f>SUM(H27:H30)</f>
        <v>3000</v>
      </c>
    </row>
    <row r="32" spans="2:9" ht="24" customHeight="1">
      <c r="B32" s="36"/>
      <c r="C32" s="37"/>
      <c r="D32" s="37"/>
      <c r="E32" s="37"/>
      <c r="F32" s="20"/>
      <c r="G32" s="114" t="s">
        <v>32</v>
      </c>
      <c r="H32" s="127">
        <f>-1*H27*C8</f>
        <v>0</v>
      </c>
    </row>
    <row r="33" spans="2:8" ht="24" customHeight="1" thickBot="1">
      <c r="B33" s="33"/>
      <c r="C33" s="34"/>
      <c r="D33" s="34"/>
      <c r="E33" s="17"/>
      <c r="F33" s="18"/>
      <c r="G33" s="19" t="s">
        <v>33</v>
      </c>
      <c r="H33" s="69">
        <f>(SUM(H31:H32))</f>
        <v>3000</v>
      </c>
    </row>
    <row r="34" spans="2:8" ht="15" customHeight="1">
      <c r="B34" s="22"/>
      <c r="C34" s="22"/>
      <c r="D34" s="22"/>
      <c r="E34" s="22"/>
    </row>
    <row r="35" spans="2:8" ht="24" customHeight="1">
      <c r="B35" s="99"/>
      <c r="C35" s="100"/>
      <c r="D35" s="100"/>
      <c r="E35" s="100"/>
      <c r="F35" s="101"/>
      <c r="G35" s="103" t="s">
        <v>34</v>
      </c>
      <c r="H35" s="102">
        <f>-1*(H22+H23*12)</f>
        <v>0</v>
      </c>
    </row>
    <row r="36" spans="2:8" ht="23.25">
      <c r="B36" s="38"/>
      <c r="C36" s="3"/>
      <c r="D36" s="3"/>
      <c r="E36" s="3"/>
      <c r="F36" s="5"/>
      <c r="G36" s="6" t="s">
        <v>35</v>
      </c>
      <c r="H36" s="70">
        <f>H33+H24</f>
        <v>3000</v>
      </c>
    </row>
    <row r="37" spans="2:8" ht="20.100000000000001" customHeight="1" thickBot="1">
      <c r="B37" s="1"/>
      <c r="C37" s="1"/>
      <c r="D37" s="1"/>
      <c r="E37" s="1"/>
    </row>
    <row r="38" spans="2:8" ht="24" customHeight="1" thickBot="1">
      <c r="B38" s="272" t="s">
        <v>36</v>
      </c>
      <c r="C38" s="273"/>
      <c r="D38" s="4"/>
      <c r="E38" s="272" t="s">
        <v>37</v>
      </c>
      <c r="F38" s="274"/>
      <c r="G38" s="274"/>
      <c r="H38" s="273"/>
    </row>
    <row r="39" spans="2:8" ht="20.100000000000001" customHeight="1">
      <c r="B39" s="39" t="s">
        <v>38</v>
      </c>
      <c r="C39" s="82" t="s">
        <v>18</v>
      </c>
      <c r="D39" s="31"/>
      <c r="E39" s="83" t="s">
        <v>39</v>
      </c>
      <c r="F39" s="84" t="s">
        <v>40</v>
      </c>
      <c r="G39" s="85" t="s">
        <v>41</v>
      </c>
      <c r="H39" s="86" t="s">
        <v>42</v>
      </c>
    </row>
    <row r="40" spans="2:8">
      <c r="B40" s="39" t="s">
        <v>43</v>
      </c>
      <c r="C40" s="40">
        <v>1</v>
      </c>
      <c r="D40" s="41"/>
      <c r="E40" s="71">
        <f ca="1">H2</f>
        <v>44669</v>
      </c>
      <c r="F40" s="72">
        <f>IF(H33=0,"Waived",(H33/C40))</f>
        <v>3000</v>
      </c>
      <c r="G40" s="73">
        <f>H24</f>
        <v>0</v>
      </c>
      <c r="H40" s="74">
        <f>SUBSTITUTE(F40,"Waived",0)+G40</f>
        <v>3000</v>
      </c>
    </row>
    <row r="41" spans="2:8">
      <c r="B41" s="43" t="s">
        <v>44</v>
      </c>
      <c r="C41" s="40" t="s">
        <v>45</v>
      </c>
      <c r="D41" s="4"/>
      <c r="E41" s="71">
        <f ca="1">EDATE(E40,1)</f>
        <v>44699</v>
      </c>
      <c r="F41" s="72" t="str">
        <f>IF(SUM(F40)=H33,"NA",(H33/C40))</f>
        <v>NA</v>
      </c>
      <c r="G41" s="75">
        <f>IF(OR(C39="30 days", C39="60 days", C39="90 days"),0, H24)</f>
        <v>0</v>
      </c>
      <c r="H41" s="74">
        <f>SUBSTITUTE(F41,"NA",0)+G41</f>
        <v>0</v>
      </c>
    </row>
    <row r="42" spans="2:8">
      <c r="B42" s="43" t="s">
        <v>46</v>
      </c>
      <c r="C42" s="45"/>
      <c r="D42" s="31"/>
      <c r="E42" s="71">
        <f ca="1">EDATE(E41,1)</f>
        <v>44730</v>
      </c>
      <c r="F42" s="72" t="str">
        <f>IF(SUM(F40:F41)=H33,"NA",(H33/C40))</f>
        <v>NA</v>
      </c>
      <c r="G42" s="75">
        <f>IF(OR(C39="60 days", C39="90 days"),0, H24)</f>
        <v>0</v>
      </c>
      <c r="H42" s="74">
        <f>SUBSTITUTE(F42,"NA",0)+G42</f>
        <v>0</v>
      </c>
    </row>
    <row r="43" spans="2:8">
      <c r="B43" s="46" t="s">
        <v>47</v>
      </c>
      <c r="C43" s="47"/>
      <c r="D43" s="41"/>
      <c r="E43" s="71">
        <f ca="1">EDATE(E42,1)</f>
        <v>44760</v>
      </c>
      <c r="F43" s="72" t="str">
        <f>IF(SUM(F40:F42)=H33,"NA",(H33/C40))</f>
        <v>NA</v>
      </c>
      <c r="G43" s="75">
        <f>IF(C39="90 days",0, H24)</f>
        <v>0</v>
      </c>
      <c r="H43" s="74">
        <f>SUBSTITUTE(F43,"NA",0)+G43</f>
        <v>0</v>
      </c>
    </row>
    <row r="44" spans="2:8" ht="19.5" thickBot="1">
      <c r="B44" s="48" t="s">
        <v>48</v>
      </c>
      <c r="C44" s="49"/>
      <c r="D44" s="41"/>
      <c r="E44" s="71">
        <f t="shared" ref="E44:E45" ca="1" si="1">EDATE(E43,1)</f>
        <v>44791</v>
      </c>
      <c r="F44" s="72" t="str">
        <f>IF(SUM(F40:F43)=H33,"NA",(H33/C40))</f>
        <v>NA</v>
      </c>
      <c r="G44" s="75">
        <f>H24</f>
        <v>0</v>
      </c>
      <c r="H44" s="74">
        <f>SUBSTITUTE(F44,"NA",0)+G44</f>
        <v>0</v>
      </c>
    </row>
    <row r="45" spans="2:8" ht="21.75" thickBot="1">
      <c r="B45" s="22"/>
      <c r="C45" s="22"/>
      <c r="D45" s="50"/>
      <c r="E45" s="76">
        <f t="shared" ca="1" si="1"/>
        <v>44822</v>
      </c>
      <c r="F45" s="77" t="str">
        <f>IF(SUM(F40:F44)=H33,"NA",(H33/C40))</f>
        <v>NA</v>
      </c>
      <c r="G45" s="78">
        <f>H24</f>
        <v>0</v>
      </c>
      <c r="H45" s="79">
        <f>SUBSTITUTE(F45,"NA",0)+G45</f>
        <v>0</v>
      </c>
    </row>
    <row r="46" spans="2:8" ht="24.95" customHeight="1">
      <c r="D46" s="50"/>
      <c r="E46" s="51"/>
      <c r="F46" s="42"/>
      <c r="G46" s="44"/>
      <c r="H46" s="35"/>
    </row>
    <row r="47" spans="2:8" ht="108" customHeight="1">
      <c r="B47" s="275" t="s">
        <v>49</v>
      </c>
      <c r="C47" s="276"/>
      <c r="D47" s="276"/>
      <c r="E47" s="276"/>
      <c r="F47" s="276"/>
      <c r="G47" s="276"/>
      <c r="H47" s="277"/>
    </row>
    <row r="48" spans="2:8">
      <c r="B48" s="135"/>
      <c r="C48" s="135"/>
      <c r="D48" s="135"/>
      <c r="E48" s="135"/>
      <c r="F48" s="135"/>
      <c r="G48" s="135"/>
      <c r="H48" s="135"/>
    </row>
    <row r="49" spans="2:8" ht="29.1" customHeight="1">
      <c r="B49" s="22"/>
      <c r="C49" s="268" t="s">
        <v>50</v>
      </c>
      <c r="D49" s="268"/>
      <c r="E49" s="268"/>
      <c r="F49" s="268"/>
    </row>
    <row r="50" spans="2:8" ht="29.25" thickBot="1">
      <c r="B50" s="22"/>
      <c r="C50" s="21"/>
      <c r="D50" s="21"/>
      <c r="E50" s="21"/>
      <c r="F50" s="21"/>
    </row>
    <row r="51" spans="2:8" ht="21.95" customHeight="1" thickBot="1">
      <c r="B51" s="278" t="s">
        <v>51</v>
      </c>
      <c r="C51" s="279"/>
      <c r="D51" s="279"/>
      <c r="E51" s="279"/>
      <c r="F51" s="279"/>
      <c r="G51" s="279"/>
      <c r="H51" s="280"/>
    </row>
    <row r="52" spans="2:8" ht="21.95" customHeight="1">
      <c r="B52" s="319" t="s">
        <v>52</v>
      </c>
      <c r="C52" s="320"/>
      <c r="D52" s="320"/>
      <c r="E52" s="320"/>
      <c r="F52" s="320"/>
      <c r="G52" s="320"/>
      <c r="H52" s="321"/>
    </row>
    <row r="53" spans="2:8">
      <c r="B53" s="253" t="s">
        <v>53</v>
      </c>
      <c r="C53" s="281"/>
      <c r="D53" s="281"/>
      <c r="E53" s="22"/>
      <c r="F53" s="256" t="s">
        <v>54</v>
      </c>
      <c r="G53" s="250"/>
      <c r="H53" s="260"/>
    </row>
    <row r="54" spans="2:8">
      <c r="B54" s="255" t="s">
        <v>55</v>
      </c>
      <c r="C54" s="282"/>
      <c r="D54" s="282"/>
      <c r="E54" s="22"/>
      <c r="F54" s="256" t="s">
        <v>56</v>
      </c>
      <c r="G54" s="251"/>
      <c r="H54" s="254"/>
    </row>
    <row r="55" spans="2:8">
      <c r="B55" s="255" t="s">
        <v>57</v>
      </c>
      <c r="C55" s="283"/>
      <c r="D55" s="283"/>
      <c r="E55" s="22"/>
      <c r="F55" s="257" t="s">
        <v>58</v>
      </c>
      <c r="G55" s="258"/>
      <c r="H55" s="259"/>
    </row>
    <row r="56" spans="2:8" ht="18.95" customHeight="1">
      <c r="B56" s="255" t="s">
        <v>59</v>
      </c>
      <c r="C56" s="283"/>
      <c r="D56" s="283"/>
      <c r="E56" s="22"/>
      <c r="F56" s="257" t="s">
        <v>60</v>
      </c>
      <c r="G56" s="258"/>
      <c r="H56" s="259"/>
    </row>
    <row r="57" spans="2:8">
      <c r="B57" s="87"/>
      <c r="C57" s="52"/>
      <c r="D57" s="52"/>
      <c r="E57" s="25"/>
      <c r="F57" s="25"/>
      <c r="G57" s="53"/>
      <c r="H57" s="88"/>
    </row>
    <row r="58" spans="2:8" ht="29.1" customHeight="1">
      <c r="B58" s="314" t="s">
        <v>61</v>
      </c>
      <c r="C58" s="315"/>
      <c r="D58" s="315"/>
      <c r="E58" s="315"/>
      <c r="F58" s="315"/>
      <c r="G58" s="315"/>
      <c r="H58" s="316"/>
    </row>
    <row r="59" spans="2:8" ht="19.5" thickBot="1">
      <c r="B59" s="98" t="s">
        <v>62</v>
      </c>
      <c r="C59" s="54" t="s">
        <v>63</v>
      </c>
      <c r="D59" s="287" t="s">
        <v>64</v>
      </c>
      <c r="E59" s="287"/>
      <c r="F59" s="287"/>
      <c r="G59" s="27" t="s">
        <v>65</v>
      </c>
      <c r="H59" s="90"/>
    </row>
    <row r="60" spans="2:8">
      <c r="B60" s="89"/>
      <c r="C60" s="54"/>
      <c r="D60" s="55"/>
      <c r="E60" s="55"/>
      <c r="F60" s="55"/>
      <c r="G60" s="27"/>
      <c r="H60" s="90"/>
    </row>
    <row r="61" spans="2:8" ht="21">
      <c r="B61" s="288" t="s">
        <v>66</v>
      </c>
      <c r="C61" s="289"/>
      <c r="D61" s="289"/>
      <c r="E61" s="289"/>
      <c r="F61" s="289"/>
      <c r="G61" s="289"/>
      <c r="H61" s="290"/>
    </row>
    <row r="62" spans="2:8" ht="21">
      <c r="B62" s="151" t="s">
        <v>67</v>
      </c>
      <c r="C62" s="152"/>
      <c r="D62" s="149"/>
      <c r="E62" s="150"/>
      <c r="F62" s="153" t="s">
        <v>68</v>
      </c>
      <c r="G62" s="147"/>
      <c r="H62" s="148"/>
    </row>
    <row r="63" spans="2:8">
      <c r="B63" s="291" t="s">
        <v>69</v>
      </c>
      <c r="C63" s="292"/>
      <c r="E63" s="293" t="s">
        <v>70</v>
      </c>
      <c r="F63" s="293"/>
      <c r="G63" s="294"/>
      <c r="H63" s="295"/>
    </row>
    <row r="64" spans="2:8">
      <c r="B64" s="96" t="s">
        <v>71</v>
      </c>
      <c r="C64" s="281"/>
      <c r="D64" s="281"/>
      <c r="E64" s="285" t="s">
        <v>72</v>
      </c>
      <c r="F64" s="285"/>
      <c r="G64" s="282"/>
      <c r="H64" s="296"/>
    </row>
    <row r="65" spans="2:9">
      <c r="B65" s="96" t="s">
        <v>73</v>
      </c>
      <c r="C65" s="284"/>
      <c r="D65" s="284"/>
      <c r="E65" s="285" t="s">
        <v>74</v>
      </c>
      <c r="F65" s="285"/>
      <c r="G65" s="283"/>
      <c r="H65" s="286"/>
    </row>
    <row r="66" spans="2:9" ht="18.95" customHeight="1">
      <c r="B66" s="97" t="s">
        <v>75</v>
      </c>
      <c r="C66" s="284"/>
      <c r="D66" s="284"/>
      <c r="E66" s="285" t="s">
        <v>76</v>
      </c>
      <c r="F66" s="285"/>
      <c r="G66" s="283"/>
      <c r="H66" s="286"/>
    </row>
    <row r="67" spans="2:9">
      <c r="B67" s="97" t="s">
        <v>77</v>
      </c>
      <c r="C67" s="284"/>
      <c r="D67" s="284"/>
      <c r="E67" s="285" t="s">
        <v>78</v>
      </c>
      <c r="F67" s="285"/>
      <c r="G67" s="283" t="s">
        <v>79</v>
      </c>
      <c r="H67" s="286"/>
    </row>
    <row r="68" spans="2:9">
      <c r="B68" s="96" t="s">
        <v>80</v>
      </c>
      <c r="C68" s="284"/>
      <c r="D68" s="284"/>
      <c r="E68" s="285" t="s">
        <v>81</v>
      </c>
      <c r="F68" s="285"/>
      <c r="G68" s="317"/>
      <c r="H68" s="318"/>
    </row>
    <row r="69" spans="2:9" ht="33.950000000000003" customHeight="1" thickBot="1">
      <c r="B69" s="91" t="s">
        <v>82</v>
      </c>
      <c r="C69" s="92" t="s">
        <v>83</v>
      </c>
      <c r="D69" s="92"/>
      <c r="E69" s="93"/>
      <c r="F69" s="94"/>
      <c r="G69" s="94"/>
      <c r="H69" s="95"/>
    </row>
    <row r="70" spans="2:9" ht="19.5" thickBot="1">
      <c r="E70" s="56"/>
    </row>
    <row r="71" spans="2:9" ht="21.75" thickBot="1">
      <c r="B71" s="298" t="s">
        <v>84</v>
      </c>
      <c r="C71" s="299"/>
      <c r="D71" s="299"/>
      <c r="E71" s="299"/>
      <c r="F71" s="299"/>
      <c r="G71" s="299"/>
      <c r="H71" s="300"/>
    </row>
    <row r="72" spans="2:9" ht="65.099999999999994" customHeight="1">
      <c r="B72" s="301" t="s">
        <v>85</v>
      </c>
      <c r="C72" s="301"/>
      <c r="D72" s="301"/>
      <c r="E72" s="301"/>
      <c r="F72" s="301"/>
      <c r="G72" s="301"/>
      <c r="H72" s="301"/>
    </row>
    <row r="74" spans="2:9" ht="27.95" customHeight="1" thickBot="1">
      <c r="B74" s="57" t="s">
        <v>86</v>
      </c>
      <c r="C74" s="297"/>
      <c r="D74" s="297"/>
      <c r="E74" s="58"/>
      <c r="F74" s="57" t="s">
        <v>87</v>
      </c>
      <c r="G74" s="58"/>
      <c r="H74" s="59"/>
      <c r="I74" s="29"/>
    </row>
    <row r="75" spans="2:9" ht="27.95" customHeight="1" thickBot="1">
      <c r="B75" s="61" t="s">
        <v>88</v>
      </c>
      <c r="C75" s="302"/>
      <c r="D75" s="302"/>
      <c r="E75" s="58"/>
      <c r="F75" s="60" t="s">
        <v>88</v>
      </c>
      <c r="G75" s="297"/>
      <c r="H75" s="297"/>
      <c r="I75" s="58"/>
    </row>
    <row r="76" spans="2:9" ht="27.95" customHeight="1" thickBot="1">
      <c r="B76" s="61" t="s">
        <v>89</v>
      </c>
      <c r="C76" s="302"/>
      <c r="D76" s="302"/>
      <c r="E76" s="58"/>
      <c r="F76" s="61" t="s">
        <v>89</v>
      </c>
      <c r="G76" s="302"/>
      <c r="H76" s="302"/>
      <c r="I76" s="58"/>
    </row>
    <row r="77" spans="2:9" ht="27.95" customHeight="1" thickBot="1">
      <c r="B77" s="61" t="s">
        <v>90</v>
      </c>
      <c r="C77" s="302"/>
      <c r="D77" s="302"/>
      <c r="E77" s="58"/>
      <c r="F77" s="60" t="s">
        <v>90</v>
      </c>
      <c r="G77" s="302"/>
      <c r="H77" s="302"/>
      <c r="I77" s="58"/>
    </row>
    <row r="78" spans="2:9" ht="27.95" customHeight="1" thickBot="1">
      <c r="B78" s="61" t="s">
        <v>91</v>
      </c>
      <c r="C78" s="302"/>
      <c r="D78" s="302"/>
      <c r="E78" s="58"/>
      <c r="F78" s="61" t="s">
        <v>91</v>
      </c>
      <c r="G78" s="302"/>
      <c r="H78" s="302"/>
      <c r="I78" s="58"/>
    </row>
    <row r="81" ht="27" customHeight="1"/>
    <row r="82" ht="27" customHeight="1"/>
    <row r="83" ht="27" customHeight="1"/>
    <row r="84" ht="27" customHeight="1"/>
  </sheetData>
  <sheetProtection insertColumns="0" insertRows="0" insertHyperlinks="0" deleteColumns="0" deleteRows="0"/>
  <mergeCells count="59">
    <mergeCell ref="B11:B12"/>
    <mergeCell ref="C78:D78"/>
    <mergeCell ref="G76:H76"/>
    <mergeCell ref="G77:H77"/>
    <mergeCell ref="G78:H78"/>
    <mergeCell ref="G75:H75"/>
    <mergeCell ref="C75:D75"/>
    <mergeCell ref="C76:D76"/>
    <mergeCell ref="C77:D77"/>
    <mergeCell ref="C68:D68"/>
    <mergeCell ref="E68:F68"/>
    <mergeCell ref="G68:H68"/>
    <mergeCell ref="B71:H71"/>
    <mergeCell ref="B72:H72"/>
    <mergeCell ref="C74:D74"/>
    <mergeCell ref="C66:D66"/>
    <mergeCell ref="E66:F66"/>
    <mergeCell ref="G66:H66"/>
    <mergeCell ref="C67:D67"/>
    <mergeCell ref="E67:F67"/>
    <mergeCell ref="G67:H67"/>
    <mergeCell ref="E65:F65"/>
    <mergeCell ref="G65:H65"/>
    <mergeCell ref="B58:H58"/>
    <mergeCell ref="D59:F59"/>
    <mergeCell ref="B61:H61"/>
    <mergeCell ref="B63:C63"/>
    <mergeCell ref="E63:H63"/>
    <mergeCell ref="C64:D64"/>
    <mergeCell ref="E64:F64"/>
    <mergeCell ref="G64:H64"/>
    <mergeCell ref="C53:D53"/>
    <mergeCell ref="C54:D54"/>
    <mergeCell ref="C55:D55"/>
    <mergeCell ref="C56:D56"/>
    <mergeCell ref="C65:D65"/>
    <mergeCell ref="B52:H52"/>
    <mergeCell ref="C17:E17"/>
    <mergeCell ref="C26:E26"/>
    <mergeCell ref="C27:E27"/>
    <mergeCell ref="C28:E28"/>
    <mergeCell ref="C29:E29"/>
    <mergeCell ref="C30:E30"/>
    <mergeCell ref="C19:E19"/>
    <mergeCell ref="C20:E20"/>
    <mergeCell ref="B38:C38"/>
    <mergeCell ref="E38:H38"/>
    <mergeCell ref="B47:H47"/>
    <mergeCell ref="C49:F49"/>
    <mergeCell ref="B51:H51"/>
    <mergeCell ref="C14:E14"/>
    <mergeCell ref="C15:E15"/>
    <mergeCell ref="C16:E16"/>
    <mergeCell ref="F2:G2"/>
    <mergeCell ref="F3:G3"/>
    <mergeCell ref="C4:F4"/>
    <mergeCell ref="C5:F5"/>
    <mergeCell ref="C10:E10"/>
    <mergeCell ref="C11:E11"/>
  </mergeCells>
  <dataValidations count="4">
    <dataValidation type="list" showInputMessage="1" showErrorMessage="1" sqref="H7" xr:uid="{8DF66DC2-90E6-4A4D-BDA1-93281354BE16}">
      <formula1>LocationQty</formula1>
    </dataValidation>
    <dataValidation type="list" showInputMessage="1" showErrorMessage="1" sqref="C41" xr:uid="{B9D48F69-77CD-0540-811D-EE182E1D04E3}">
      <formula1>Subscription</formula1>
    </dataValidation>
    <dataValidation type="list" showInputMessage="1" showErrorMessage="1" sqref="C40" xr:uid="{C2F5AD4D-422A-5748-89F0-64879040334E}">
      <formula1>ServicePayments</formula1>
    </dataValidation>
    <dataValidation showInputMessage="1" showErrorMessage="1" sqref="C8 B14" xr:uid="{9C9E96F9-4522-8D4B-A20E-E3477190DAD2}"/>
  </dataValidations>
  <printOptions horizontalCentered="1"/>
  <pageMargins left="0.2" right="0.2" top="0.25" bottom="0.25" header="0" footer="0"/>
  <pageSetup scale="60" fitToHeight="2" orientation="portrait" horizontalDpi="0" verticalDpi="0"/>
  <headerFooter>
    <oddFooter>&amp;C&amp;"Calibri (Body),Regular"Page &amp;P of &amp;N</oddFooter>
  </headerFooter>
  <rowBreaks count="1" manualBreakCount="1">
    <brk id="48" max="7" man="1"/>
  </rowBreaks>
  <colBreaks count="1" manualBreakCount="1">
    <brk id="8" max="1048575" man="1"/>
  </colBreaks>
  <drawing r:id="rId1"/>
  <extLst>
    <ext xmlns:x14="http://schemas.microsoft.com/office/spreadsheetml/2009/9/main" uri="{CCE6A557-97BC-4b89-ADB6-D9C93CAAB3DF}">
      <x14:dataValidations xmlns:xm="http://schemas.microsoft.com/office/excel/2006/main" count="10">
        <x14:dataValidation type="list" showInputMessage="1" showErrorMessage="1" xr:uid="{56EAEE10-9E98-824F-8612-3AF78D2684CE}">
          <x14:formula1>
            <xm:f>'Products - Internal'!$B$42</xm:f>
          </x14:formula1>
          <xm:sqref>B28</xm:sqref>
        </x14:dataValidation>
        <x14:dataValidation type="list" showInputMessage="1" showErrorMessage="1" xr:uid="{E705C852-4442-9D43-9179-383D315D98A5}">
          <x14:formula1>
            <xm:f>'Products - Internal'!$B$41</xm:f>
          </x14:formula1>
          <xm:sqref>B27</xm:sqref>
        </x14:dataValidation>
        <x14:dataValidation type="list" showInputMessage="1" showErrorMessage="1" xr:uid="{D380691A-2363-BD40-ACB8-CB3B3227C29A}">
          <x14:formula1>
            <xm:f>'Products - Internal'!$B$101:$B$106</xm:f>
          </x14:formula1>
          <xm:sqref>C7</xm:sqref>
        </x14:dataValidation>
        <x14:dataValidation type="list" showInputMessage="1" showErrorMessage="1" xr:uid="{794EC025-390D-E04B-BD41-9E1EFEC8133A}">
          <x14:formula1>
            <xm:f>'Products - Internal'!$C$86:$C$89</xm:f>
          </x14:formula1>
          <xm:sqref>C39</xm:sqref>
        </x14:dataValidation>
        <x14:dataValidation type="list" allowBlank="1" showInputMessage="1" showErrorMessage="1" xr:uid="{2BF2F4A1-E23F-8145-B7A0-A9954B2A9BAE}">
          <x14:formula1>
            <xm:f>'Products - Internal'!$D$62:$D$64</xm:f>
          </x14:formula1>
          <xm:sqref>D12</xm:sqref>
        </x14:dataValidation>
        <x14:dataValidation type="list" showInputMessage="1" showErrorMessage="1" xr:uid="{D1BF46AD-85C7-B543-A9D4-36D555D07C5C}">
          <x14:formula1>
            <xm:f>'Products - Internal'!$B$9:$B$13</xm:f>
          </x14:formula1>
          <xm:sqref>B13:B14</xm:sqref>
        </x14:dataValidation>
        <x14:dataValidation type="list" showInputMessage="1" showErrorMessage="1" xr:uid="{ED9DE26D-C914-4042-8002-A09FF67225E1}">
          <x14:formula1>
            <xm:f>'Products - Internal'!$B$21:$B$25</xm:f>
          </x14:formula1>
          <xm:sqref>B15</xm:sqref>
        </x14:dataValidation>
        <x14:dataValidation type="list" showInputMessage="1" showErrorMessage="1" xr:uid="{54C3ADD3-13EA-DE47-AAEE-453EA6DB25EB}">
          <x14:formula1>
            <xm:f>'Products - Internal'!$B$26:$B$37</xm:f>
          </x14:formula1>
          <xm:sqref>B19:B20 B16:B17</xm:sqref>
        </x14:dataValidation>
        <x14:dataValidation type="list" showInputMessage="1" showErrorMessage="1" xr:uid="{A37E4DFE-AA22-E740-B93C-910A428837B2}">
          <x14:formula1>
            <xm:f>'Products - Internal'!$B$8:$B$14</xm:f>
          </x14:formula1>
          <xm:sqref>B11:B12</xm:sqref>
        </x14:dataValidation>
        <x14:dataValidation type="list" showInputMessage="1" showErrorMessage="1" xr:uid="{3A784068-3DDA-DD4E-A306-5B5D94D2DD25}">
          <x14:formula1>
            <xm:f>'Products - Internal'!$B$40:$B$58</xm:f>
          </x14:formula1>
          <xm:sqref>B29:B30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05856-D612-F842-9C32-C486C4A70F84}">
  <dimension ref="B2:O61"/>
  <sheetViews>
    <sheetView workbookViewId="0">
      <pane ySplit="8" topLeftCell="A9" activePane="bottomLeft" state="frozen"/>
      <selection pane="bottomLeft" activeCell="G3" sqref="G3"/>
    </sheetView>
  </sheetViews>
  <sheetFormatPr defaultColWidth="10.85546875" defaultRowHeight="18.75"/>
  <cols>
    <col min="1" max="1" width="4.140625" style="168" customWidth="1"/>
    <col min="2" max="2" width="33.28515625" style="168" customWidth="1"/>
    <col min="3" max="7" width="20.85546875" style="169" customWidth="1"/>
    <col min="8" max="8" width="8.42578125" style="168" customWidth="1"/>
    <col min="9" max="9" width="13.140625" style="168" customWidth="1"/>
    <col min="10" max="10" width="12.140625" style="168" customWidth="1"/>
    <col min="11" max="12" width="10.85546875" style="168"/>
    <col min="13" max="13" width="15.140625" style="168" customWidth="1"/>
    <col min="14" max="15" width="15.140625" style="168" hidden="1" customWidth="1"/>
    <col min="16" max="16" width="15.140625" style="168" customWidth="1"/>
    <col min="17" max="16384" width="10.85546875" style="168"/>
  </cols>
  <sheetData>
    <row r="2" spans="2:15">
      <c r="G2" s="170" t="s">
        <v>95</v>
      </c>
    </row>
    <row r="3" spans="2:15">
      <c r="C3" s="171"/>
      <c r="D3" s="171"/>
      <c r="E3" s="171"/>
      <c r="F3" s="171"/>
      <c r="G3" s="172" t="s">
        <v>96</v>
      </c>
    </row>
    <row r="4" spans="2:15" ht="27.95" customHeight="1">
      <c r="C4" s="305" t="s">
        <v>97</v>
      </c>
      <c r="D4" s="305"/>
      <c r="E4" s="305"/>
      <c r="F4" s="305"/>
      <c r="G4" s="170" t="s">
        <v>98</v>
      </c>
    </row>
    <row r="5" spans="2:15" ht="21.95" customHeight="1">
      <c r="C5" s="171"/>
      <c r="D5" s="171"/>
      <c r="E5" s="171"/>
      <c r="F5" s="171"/>
      <c r="G5" s="173">
        <f>VLOOKUP(G3,Margin_tbl2[],2,FALSE)</f>
        <v>0.05</v>
      </c>
    </row>
    <row r="6" spans="2:15" ht="42">
      <c r="C6" s="174" t="s">
        <v>99</v>
      </c>
      <c r="D6" s="175" t="s">
        <v>100</v>
      </c>
      <c r="E6" s="175" t="s">
        <v>101</v>
      </c>
      <c r="F6" s="175" t="s">
        <v>102</v>
      </c>
      <c r="G6" s="175" t="s">
        <v>103</v>
      </c>
    </row>
    <row r="7" spans="2:15">
      <c r="B7" s="176" t="s">
        <v>104</v>
      </c>
      <c r="C7" s="177">
        <v>109</v>
      </c>
      <c r="D7" s="177">
        <v>129</v>
      </c>
      <c r="E7" s="177">
        <v>249</v>
      </c>
      <c r="F7" s="177">
        <v>359</v>
      </c>
      <c r="G7" s="177">
        <v>429</v>
      </c>
    </row>
    <row r="8" spans="2:15">
      <c r="B8" s="178" t="s">
        <v>105</v>
      </c>
      <c r="C8" s="179">
        <f>C7-(C7*G5)</f>
        <v>103.55</v>
      </c>
      <c r="D8" s="179">
        <f>D7-(D7*G5)</f>
        <v>122.55</v>
      </c>
      <c r="E8" s="179">
        <f>E7-(E7*G5)</f>
        <v>236.55</v>
      </c>
      <c r="F8" s="179">
        <f>F7-(F7*G5)</f>
        <v>341.05</v>
      </c>
      <c r="G8" s="179">
        <f>G7-(G7*G5)</f>
        <v>407.55</v>
      </c>
    </row>
    <row r="9" spans="2:15" ht="24" customHeight="1">
      <c r="B9" s="180" t="s">
        <v>106</v>
      </c>
      <c r="C9" s="181"/>
      <c r="D9" s="181"/>
      <c r="E9" s="181"/>
      <c r="F9" s="181"/>
      <c r="G9" s="181"/>
      <c r="N9" s="322" t="s">
        <v>107</v>
      </c>
      <c r="O9" s="323"/>
    </row>
    <row r="10" spans="2:15" ht="21">
      <c r="B10" s="168" t="s">
        <v>108</v>
      </c>
      <c r="C10" s="182" t="s">
        <v>109</v>
      </c>
      <c r="D10" s="182" t="s">
        <v>109</v>
      </c>
      <c r="E10" s="182" t="s">
        <v>109</v>
      </c>
      <c r="F10" s="182" t="s">
        <v>109</v>
      </c>
      <c r="G10" s="182" t="s">
        <v>109</v>
      </c>
      <c r="N10" s="183" t="s">
        <v>110</v>
      </c>
      <c r="O10" s="184" t="s">
        <v>111</v>
      </c>
    </row>
    <row r="11" spans="2:15" ht="21">
      <c r="B11" s="168" t="s">
        <v>112</v>
      </c>
      <c r="C11" s="182" t="s">
        <v>109</v>
      </c>
      <c r="D11" s="182" t="s">
        <v>109</v>
      </c>
      <c r="E11" s="182" t="s">
        <v>109</v>
      </c>
      <c r="F11" s="182" t="s">
        <v>109</v>
      </c>
      <c r="G11" s="182" t="s">
        <v>109</v>
      </c>
      <c r="N11" s="185" t="s">
        <v>5</v>
      </c>
      <c r="O11" s="186">
        <v>0</v>
      </c>
    </row>
    <row r="12" spans="2:15" ht="21">
      <c r="B12" s="168" t="s">
        <v>113</v>
      </c>
      <c r="C12" s="182" t="s">
        <v>109</v>
      </c>
      <c r="D12" s="182" t="s">
        <v>109</v>
      </c>
      <c r="E12" s="182" t="s">
        <v>109</v>
      </c>
      <c r="F12" s="182" t="s">
        <v>109</v>
      </c>
      <c r="G12" s="182" t="s">
        <v>109</v>
      </c>
      <c r="N12" s="187" t="s">
        <v>96</v>
      </c>
      <c r="O12" s="188">
        <v>0.05</v>
      </c>
    </row>
    <row r="13" spans="2:15" ht="21">
      <c r="B13" s="168" t="s">
        <v>114</v>
      </c>
      <c r="C13" s="182" t="s">
        <v>109</v>
      </c>
      <c r="D13" s="182" t="s">
        <v>109</v>
      </c>
      <c r="E13" s="182" t="s">
        <v>109</v>
      </c>
      <c r="F13" s="182" t="s">
        <v>109</v>
      </c>
      <c r="G13" s="182" t="s">
        <v>109</v>
      </c>
      <c r="N13" s="187" t="s">
        <v>115</v>
      </c>
      <c r="O13" s="188">
        <v>0.1</v>
      </c>
    </row>
    <row r="14" spans="2:15" ht="21">
      <c r="B14" s="168" t="s">
        <v>116</v>
      </c>
      <c r="C14" s="182" t="s">
        <v>109</v>
      </c>
      <c r="D14" s="182" t="s">
        <v>109</v>
      </c>
      <c r="E14" s="182" t="s">
        <v>109</v>
      </c>
      <c r="F14" s="182" t="s">
        <v>109</v>
      </c>
      <c r="G14" s="182" t="s">
        <v>109</v>
      </c>
      <c r="N14" s="187" t="s">
        <v>117</v>
      </c>
      <c r="O14" s="188">
        <v>0.15</v>
      </c>
    </row>
    <row r="15" spans="2:15" ht="21">
      <c r="B15" s="168" t="s">
        <v>118</v>
      </c>
      <c r="C15" s="182" t="s">
        <v>109</v>
      </c>
      <c r="D15" s="182" t="s">
        <v>109</v>
      </c>
      <c r="E15" s="182" t="s">
        <v>109</v>
      </c>
      <c r="F15" s="182" t="s">
        <v>109</v>
      </c>
      <c r="G15" s="182" t="s">
        <v>109</v>
      </c>
      <c r="N15" s="187" t="s">
        <v>119</v>
      </c>
      <c r="O15" s="188">
        <v>0.2</v>
      </c>
    </row>
    <row r="16" spans="2:15" ht="21">
      <c r="B16" s="168" t="s">
        <v>120</v>
      </c>
      <c r="C16" s="189" t="s">
        <v>121</v>
      </c>
      <c r="D16" s="189" t="s">
        <v>121</v>
      </c>
      <c r="E16" s="182" t="s">
        <v>109</v>
      </c>
      <c r="F16" s="182" t="s">
        <v>109</v>
      </c>
      <c r="G16" s="182" t="s">
        <v>109</v>
      </c>
      <c r="N16" s="187" t="s">
        <v>122</v>
      </c>
      <c r="O16" s="188">
        <v>0.25</v>
      </c>
    </row>
    <row r="17" spans="2:15" ht="38.25">
      <c r="B17" s="168" t="s">
        <v>123</v>
      </c>
      <c r="C17" s="306" t="s">
        <v>124</v>
      </c>
      <c r="D17" s="306" t="s">
        <v>124</v>
      </c>
      <c r="E17" s="190" t="s">
        <v>125</v>
      </c>
      <c r="F17" s="182" t="s">
        <v>109</v>
      </c>
      <c r="G17" s="182" t="s">
        <v>109</v>
      </c>
      <c r="N17" s="187" t="s">
        <v>126</v>
      </c>
      <c r="O17" s="188">
        <v>0.3</v>
      </c>
    </row>
    <row r="18" spans="2:15" ht="21">
      <c r="B18" s="168" t="s">
        <v>127</v>
      </c>
      <c r="C18" s="307"/>
      <c r="D18" s="307"/>
      <c r="E18" s="306" t="s">
        <v>124</v>
      </c>
      <c r="F18" s="306" t="s">
        <v>124</v>
      </c>
      <c r="G18" s="182" t="s">
        <v>109</v>
      </c>
      <c r="N18" s="191" t="s">
        <v>128</v>
      </c>
      <c r="O18" s="192">
        <v>0.35</v>
      </c>
    </row>
    <row r="19" spans="2:15" ht="21">
      <c r="B19" s="168" t="s">
        <v>129</v>
      </c>
      <c r="C19" s="307"/>
      <c r="D19" s="307"/>
      <c r="E19" s="306"/>
      <c r="F19" s="306"/>
      <c r="G19" s="182" t="s">
        <v>109</v>
      </c>
      <c r="N19" s="171" t="s">
        <v>130</v>
      </c>
    </row>
    <row r="20" spans="2:15" ht="21">
      <c r="B20" s="168" t="s">
        <v>131</v>
      </c>
      <c r="C20" s="307"/>
      <c r="D20" s="307"/>
      <c r="E20" s="306"/>
      <c r="F20" s="306"/>
      <c r="G20" s="182" t="s">
        <v>109</v>
      </c>
      <c r="I20" s="171"/>
      <c r="J20" s="171"/>
    </row>
    <row r="21" spans="2:15" ht="21">
      <c r="B21" s="168" t="s">
        <v>132</v>
      </c>
      <c r="C21" s="307"/>
      <c r="D21" s="307"/>
      <c r="E21" s="306"/>
      <c r="F21" s="306"/>
      <c r="G21" s="182" t="s">
        <v>109</v>
      </c>
    </row>
    <row r="22" spans="2:15" ht="30.95" customHeight="1">
      <c r="B22" s="168" t="s">
        <v>133</v>
      </c>
      <c r="C22" s="193" t="s">
        <v>134</v>
      </c>
      <c r="D22" s="193" t="s">
        <v>134</v>
      </c>
      <c r="E22" s="193" t="s">
        <v>134</v>
      </c>
      <c r="F22" s="193" t="s">
        <v>134</v>
      </c>
      <c r="G22" s="193" t="s">
        <v>134</v>
      </c>
    </row>
    <row r="23" spans="2:15">
      <c r="B23" s="194" t="s">
        <v>135</v>
      </c>
      <c r="C23" s="193" t="s">
        <v>136</v>
      </c>
      <c r="D23" s="193" t="s">
        <v>136</v>
      </c>
      <c r="E23" s="193" t="s">
        <v>136</v>
      </c>
      <c r="F23" s="193" t="s">
        <v>136</v>
      </c>
      <c r="G23" s="193" t="s">
        <v>136</v>
      </c>
    </row>
    <row r="25" spans="2:15">
      <c r="B25" s="180" t="s">
        <v>137</v>
      </c>
      <c r="C25" s="181"/>
      <c r="D25" s="181"/>
      <c r="E25" s="181"/>
      <c r="F25" s="181"/>
      <c r="G25" s="181"/>
    </row>
    <row r="26" spans="2:15">
      <c r="B26" s="168" t="s">
        <v>138</v>
      </c>
      <c r="C26" s="169" t="s">
        <v>139</v>
      </c>
      <c r="D26" s="169" t="s">
        <v>139</v>
      </c>
      <c r="E26" s="169" t="s">
        <v>139</v>
      </c>
      <c r="F26" s="169" t="s">
        <v>139</v>
      </c>
      <c r="G26" s="169" t="s">
        <v>139</v>
      </c>
    </row>
    <row r="27" spans="2:15">
      <c r="B27" s="168" t="s">
        <v>140</v>
      </c>
      <c r="C27" s="169" t="s">
        <v>141</v>
      </c>
      <c r="D27" s="169" t="s">
        <v>141</v>
      </c>
      <c r="E27" s="169" t="s">
        <v>141</v>
      </c>
      <c r="F27" s="169" t="s">
        <v>141</v>
      </c>
      <c r="G27" s="169" t="s">
        <v>141</v>
      </c>
    </row>
    <row r="29" spans="2:15">
      <c r="B29" s="180" t="s">
        <v>142</v>
      </c>
      <c r="C29" s="181"/>
      <c r="D29" s="181"/>
      <c r="E29" s="181"/>
      <c r="F29" s="181"/>
      <c r="G29" s="181"/>
    </row>
    <row r="30" spans="2:15" ht="38.25">
      <c r="B30" s="168" t="s">
        <v>143</v>
      </c>
      <c r="C30" s="189" t="s">
        <v>121</v>
      </c>
      <c r="D30" s="189" t="s">
        <v>121</v>
      </c>
      <c r="E30" s="190" t="s">
        <v>125</v>
      </c>
      <c r="F30" s="182" t="s">
        <v>109</v>
      </c>
      <c r="G30" s="182" t="s">
        <v>109</v>
      </c>
    </row>
    <row r="31" spans="2:15" ht="21">
      <c r="B31" s="168" t="s">
        <v>144</v>
      </c>
      <c r="C31" s="189" t="s">
        <v>121</v>
      </c>
      <c r="D31" s="189" t="s">
        <v>121</v>
      </c>
      <c r="E31" s="189" t="s">
        <v>121</v>
      </c>
      <c r="F31" s="182" t="s">
        <v>109</v>
      </c>
      <c r="G31" s="182" t="s">
        <v>109</v>
      </c>
    </row>
    <row r="32" spans="2:15" ht="21">
      <c r="B32" s="168" t="s">
        <v>145</v>
      </c>
      <c r="C32" s="189" t="s">
        <v>121</v>
      </c>
      <c r="D32" s="189" t="s">
        <v>121</v>
      </c>
      <c r="E32" s="189" t="s">
        <v>121</v>
      </c>
      <c r="F32" s="182" t="s">
        <v>109</v>
      </c>
      <c r="G32" s="182" t="s">
        <v>109</v>
      </c>
    </row>
    <row r="33" spans="2:7" ht="21">
      <c r="B33" s="168" t="s">
        <v>146</v>
      </c>
      <c r="C33" s="189" t="s">
        <v>121</v>
      </c>
      <c r="D33" s="189" t="s">
        <v>121</v>
      </c>
      <c r="E33" s="189" t="s">
        <v>121</v>
      </c>
      <c r="F33" s="182" t="s">
        <v>109</v>
      </c>
      <c r="G33" s="182" t="s">
        <v>109</v>
      </c>
    </row>
    <row r="34" spans="2:7" ht="21">
      <c r="B34" s="168" t="s">
        <v>120</v>
      </c>
      <c r="C34" s="189" t="s">
        <v>121</v>
      </c>
      <c r="D34" s="189" t="s">
        <v>121</v>
      </c>
      <c r="E34" s="189" t="s">
        <v>121</v>
      </c>
      <c r="F34" s="182" t="s">
        <v>109</v>
      </c>
      <c r="G34" s="182" t="s">
        <v>109</v>
      </c>
    </row>
    <row r="35" spans="2:7" ht="21">
      <c r="B35" s="168" t="s">
        <v>147</v>
      </c>
      <c r="C35" s="189" t="s">
        <v>121</v>
      </c>
      <c r="D35" s="193">
        <v>199</v>
      </c>
      <c r="E35" s="193">
        <v>199</v>
      </c>
      <c r="F35" s="193">
        <v>199</v>
      </c>
      <c r="G35" s="182" t="s">
        <v>109</v>
      </c>
    </row>
    <row r="36" spans="2:7" ht="21">
      <c r="B36" s="168" t="s">
        <v>148</v>
      </c>
      <c r="C36" s="189" t="s">
        <v>121</v>
      </c>
      <c r="D36" s="193">
        <v>199</v>
      </c>
      <c r="E36" s="193">
        <v>199</v>
      </c>
      <c r="F36" s="193">
        <v>199</v>
      </c>
      <c r="G36" s="182" t="s">
        <v>109</v>
      </c>
    </row>
    <row r="37" spans="2:7">
      <c r="C37" s="189"/>
      <c r="D37" s="189"/>
      <c r="F37" s="193"/>
    </row>
    <row r="38" spans="2:7">
      <c r="B38" s="180" t="s">
        <v>149</v>
      </c>
      <c r="C38" s="181"/>
      <c r="D38" s="181"/>
      <c r="E38" s="181"/>
      <c r="F38" s="181"/>
      <c r="G38" s="181"/>
    </row>
    <row r="39" spans="2:7" ht="21">
      <c r="B39" s="168" t="s">
        <v>150</v>
      </c>
      <c r="C39" s="189" t="s">
        <v>121</v>
      </c>
      <c r="D39" s="189" t="s">
        <v>121</v>
      </c>
      <c r="E39" s="189" t="s">
        <v>121</v>
      </c>
      <c r="F39" s="182" t="s">
        <v>109</v>
      </c>
      <c r="G39" s="182" t="s">
        <v>109</v>
      </c>
    </row>
    <row r="40" spans="2:7" ht="21" customHeight="1">
      <c r="B40" s="168" t="s">
        <v>151</v>
      </c>
      <c r="C40" s="189" t="s">
        <v>121</v>
      </c>
      <c r="D40" s="189" t="s">
        <v>121</v>
      </c>
      <c r="E40" s="189" t="s">
        <v>121</v>
      </c>
      <c r="F40" s="182" t="s">
        <v>109</v>
      </c>
      <c r="G40" s="182" t="s">
        <v>109</v>
      </c>
    </row>
    <row r="41" spans="2:7" ht="21">
      <c r="B41" s="168" t="s">
        <v>152</v>
      </c>
      <c r="C41" s="189" t="s">
        <v>121</v>
      </c>
      <c r="D41" s="189" t="s">
        <v>121</v>
      </c>
      <c r="E41" s="189" t="s">
        <v>121</v>
      </c>
      <c r="F41" s="182" t="s">
        <v>109</v>
      </c>
      <c r="G41" s="182" t="s">
        <v>109</v>
      </c>
    </row>
    <row r="42" spans="2:7" ht="21">
      <c r="B42" s="168" t="s">
        <v>153</v>
      </c>
      <c r="C42" s="189" t="s">
        <v>121</v>
      </c>
      <c r="D42" s="189" t="s">
        <v>121</v>
      </c>
      <c r="E42" s="189" t="s">
        <v>121</v>
      </c>
      <c r="F42" s="182" t="s">
        <v>109</v>
      </c>
      <c r="G42" s="182" t="s">
        <v>109</v>
      </c>
    </row>
    <row r="43" spans="2:7" ht="21">
      <c r="B43" s="168" t="s">
        <v>120</v>
      </c>
      <c r="C43" s="189" t="s">
        <v>121</v>
      </c>
      <c r="D43" s="189" t="s">
        <v>121</v>
      </c>
      <c r="E43" s="189" t="s">
        <v>121</v>
      </c>
      <c r="F43" s="182" t="s">
        <v>109</v>
      </c>
      <c r="G43" s="182" t="s">
        <v>109</v>
      </c>
    </row>
    <row r="45" spans="2:7">
      <c r="B45" s="180" t="s">
        <v>154</v>
      </c>
      <c r="C45" s="181"/>
      <c r="D45" s="181"/>
      <c r="E45" s="181"/>
      <c r="F45" s="181"/>
      <c r="G45" s="181"/>
    </row>
    <row r="46" spans="2:7" ht="21">
      <c r="B46" s="168" t="s">
        <v>155</v>
      </c>
      <c r="C46" s="189" t="s">
        <v>121</v>
      </c>
      <c r="D46" s="182" t="s">
        <v>109</v>
      </c>
      <c r="E46" s="182" t="s">
        <v>109</v>
      </c>
      <c r="F46" s="182" t="s">
        <v>109</v>
      </c>
      <c r="G46" s="182" t="s">
        <v>109</v>
      </c>
    </row>
    <row r="47" spans="2:7" ht="21">
      <c r="B47" s="168" t="s">
        <v>156</v>
      </c>
      <c r="C47" s="189" t="s">
        <v>121</v>
      </c>
      <c r="D47" s="182" t="s">
        <v>109</v>
      </c>
      <c r="E47" s="182" t="s">
        <v>109</v>
      </c>
      <c r="F47" s="182" t="s">
        <v>109</v>
      </c>
      <c r="G47" s="182" t="s">
        <v>109</v>
      </c>
    </row>
    <row r="48" spans="2:7" ht="21">
      <c r="B48" s="168" t="s">
        <v>157</v>
      </c>
      <c r="C48" s="189" t="s">
        <v>121</v>
      </c>
      <c r="D48" s="182" t="s">
        <v>109</v>
      </c>
      <c r="E48" s="182" t="s">
        <v>109</v>
      </c>
      <c r="F48" s="182" t="s">
        <v>109</v>
      </c>
      <c r="G48" s="182" t="s">
        <v>109</v>
      </c>
    </row>
    <row r="49" spans="2:7" ht="21">
      <c r="B49" s="168" t="s">
        <v>158</v>
      </c>
      <c r="C49" s="189" t="s">
        <v>121</v>
      </c>
      <c r="D49" s="189" t="s">
        <v>121</v>
      </c>
      <c r="E49" s="189" t="s">
        <v>121</v>
      </c>
      <c r="F49" s="182" t="s">
        <v>109</v>
      </c>
      <c r="G49" s="182" t="s">
        <v>109</v>
      </c>
    </row>
    <row r="50" spans="2:7" ht="57">
      <c r="B50" s="168" t="s">
        <v>159</v>
      </c>
      <c r="C50" s="189" t="s">
        <v>121</v>
      </c>
      <c r="D50" s="189" t="s">
        <v>121</v>
      </c>
      <c r="E50" s="190" t="s">
        <v>160</v>
      </c>
      <c r="F50" s="182" t="s">
        <v>109</v>
      </c>
      <c r="G50" s="182" t="s">
        <v>109</v>
      </c>
    </row>
    <row r="51" spans="2:7" ht="21">
      <c r="B51" s="168" t="s">
        <v>161</v>
      </c>
      <c r="C51" s="189" t="s">
        <v>121</v>
      </c>
      <c r="D51" s="189" t="s">
        <v>121</v>
      </c>
      <c r="E51" s="182" t="s">
        <v>109</v>
      </c>
      <c r="F51" s="182" t="s">
        <v>109</v>
      </c>
      <c r="G51" s="182" t="s">
        <v>109</v>
      </c>
    </row>
    <row r="52" spans="2:7" ht="21">
      <c r="B52" s="168" t="s">
        <v>162</v>
      </c>
      <c r="C52" s="189" t="s">
        <v>121</v>
      </c>
      <c r="D52" s="189" t="s">
        <v>121</v>
      </c>
      <c r="E52" s="182" t="s">
        <v>109</v>
      </c>
      <c r="F52" s="182" t="s">
        <v>109</v>
      </c>
      <c r="G52" s="182" t="s">
        <v>109</v>
      </c>
    </row>
    <row r="53" spans="2:7" ht="21">
      <c r="B53" s="168" t="s">
        <v>163</v>
      </c>
      <c r="C53" s="182" t="s">
        <v>109</v>
      </c>
      <c r="D53" s="182" t="s">
        <v>109</v>
      </c>
      <c r="E53" s="182" t="s">
        <v>109</v>
      </c>
      <c r="F53" s="182" t="s">
        <v>109</v>
      </c>
      <c r="G53" s="182" t="s">
        <v>109</v>
      </c>
    </row>
    <row r="56" spans="2:7">
      <c r="B56" s="200" t="s">
        <v>164</v>
      </c>
      <c r="C56" s="201"/>
      <c r="D56" s="201"/>
      <c r="E56" s="201"/>
      <c r="F56" s="201"/>
    </row>
    <row r="57" spans="2:7" ht="45" customHeight="1">
      <c r="B57" s="198" t="s">
        <v>165</v>
      </c>
      <c r="C57" s="303" t="s">
        <v>166</v>
      </c>
      <c r="D57" s="303"/>
      <c r="E57" s="303"/>
      <c r="F57" s="202">
        <v>49</v>
      </c>
    </row>
    <row r="58" spans="2:7" ht="45" customHeight="1">
      <c r="B58" s="198" t="s">
        <v>167</v>
      </c>
      <c r="C58" s="303" t="s">
        <v>168</v>
      </c>
      <c r="D58" s="303"/>
      <c r="E58" s="303"/>
      <c r="F58" s="202">
        <v>79</v>
      </c>
    </row>
    <row r="59" spans="2:7" ht="45" customHeight="1">
      <c r="B59" s="199" t="s">
        <v>169</v>
      </c>
      <c r="C59" s="304" t="s">
        <v>170</v>
      </c>
      <c r="D59" s="304"/>
      <c r="E59" s="304"/>
      <c r="F59" s="202">
        <v>499</v>
      </c>
    </row>
    <row r="60" spans="2:7" ht="45" customHeight="1">
      <c r="B60" s="199" t="s">
        <v>171</v>
      </c>
      <c r="C60" s="304" t="s">
        <v>172</v>
      </c>
      <c r="D60" s="304"/>
      <c r="E60" s="304"/>
      <c r="F60" s="202">
        <v>499</v>
      </c>
    </row>
    <row r="61" spans="2:7" ht="45" customHeight="1">
      <c r="B61" s="199" t="s">
        <v>173</v>
      </c>
      <c r="C61" s="303" t="s">
        <v>174</v>
      </c>
      <c r="D61" s="303"/>
      <c r="E61" s="303"/>
      <c r="F61" s="202">
        <v>900</v>
      </c>
    </row>
  </sheetData>
  <mergeCells count="11">
    <mergeCell ref="C4:F4"/>
    <mergeCell ref="N9:O9"/>
    <mergeCell ref="C17:C21"/>
    <mergeCell ref="D17:D21"/>
    <mergeCell ref="E18:E21"/>
    <mergeCell ref="F18:F21"/>
    <mergeCell ref="C57:E57"/>
    <mergeCell ref="C58:E58"/>
    <mergeCell ref="C59:E59"/>
    <mergeCell ref="C60:E60"/>
    <mergeCell ref="C61:E61"/>
  </mergeCells>
  <dataValidations count="1">
    <dataValidation type="list" allowBlank="1" showInputMessage="1" showErrorMessage="1" sqref="G3" xr:uid="{408C85E6-17D7-8B43-B521-F0BAF1959811}">
      <formula1>$N$11:$N$18</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95DE4-25B8-3846-ADC1-5987772427D6}">
  <dimension ref="A2:G88"/>
  <sheetViews>
    <sheetView showGridLines="0" zoomScale="120" zoomScaleNormal="120" workbookViewId="0">
      <selection activeCell="H9" sqref="H9"/>
    </sheetView>
  </sheetViews>
  <sheetFormatPr defaultColWidth="7.85546875" defaultRowHeight="15.75"/>
  <cols>
    <col min="1" max="1" width="7.85546875" style="105"/>
    <col min="2" max="2" width="32.42578125" style="105" customWidth="1"/>
    <col min="3" max="3" width="46.85546875" style="105" customWidth="1"/>
    <col min="4" max="4" width="19" style="105" customWidth="1"/>
    <col min="5" max="5" width="17.28515625" style="105" customWidth="1"/>
    <col min="6" max="6" width="6.7109375" style="105" bestFit="1" customWidth="1"/>
    <col min="7" max="7" width="12.85546875" style="105" customWidth="1"/>
    <col min="8" max="16384" width="7.85546875" style="105"/>
  </cols>
  <sheetData>
    <row r="2" spans="2:5">
      <c r="E2" s="140" t="s">
        <v>175</v>
      </c>
    </row>
    <row r="3" spans="2:5">
      <c r="E3" s="141">
        <v>43833</v>
      </c>
    </row>
    <row r="4" spans="2:5" ht="21">
      <c r="C4" s="206" t="s">
        <v>176</v>
      </c>
      <c r="D4" s="207" t="s">
        <v>6</v>
      </c>
      <c r="E4" s="30" t="s">
        <v>119</v>
      </c>
    </row>
    <row r="5" spans="2:5" ht="18.75">
      <c r="D5" s="208" t="s">
        <v>8</v>
      </c>
      <c r="E5" s="236">
        <f>VLOOKUP(E4,MarginLookup,2,FALSE)</f>
        <v>0.2</v>
      </c>
    </row>
    <row r="7" spans="2:5" ht="18.75">
      <c r="B7" s="142" t="s">
        <v>9</v>
      </c>
      <c r="C7" s="142" t="s">
        <v>10</v>
      </c>
      <c r="D7" s="142" t="s">
        <v>177</v>
      </c>
      <c r="E7" s="142" t="s">
        <v>178</v>
      </c>
    </row>
    <row r="8" spans="2:5" ht="31.5">
      <c r="B8" s="324" t="s">
        <v>179</v>
      </c>
      <c r="C8" s="325" t="s">
        <v>180</v>
      </c>
      <c r="D8" s="195">
        <v>109</v>
      </c>
      <c r="E8" s="209">
        <f>Package_tbl6[[#This Row],[List Price]]*(1-Margin)</f>
        <v>87.2</v>
      </c>
    </row>
    <row r="9" spans="2:5" ht="31.5">
      <c r="B9" s="210" t="s">
        <v>181</v>
      </c>
      <c r="C9" s="325" t="s">
        <v>182</v>
      </c>
      <c r="D9" s="166">
        <v>129</v>
      </c>
      <c r="E9" s="209">
        <f>Package_tbl6[[#This Row],[List Price]]*(1-Margin)</f>
        <v>103.2</v>
      </c>
    </row>
    <row r="10" spans="2:5" ht="31.5">
      <c r="B10" s="326" t="s">
        <v>183</v>
      </c>
      <c r="C10" s="325" t="s">
        <v>184</v>
      </c>
      <c r="D10" s="166">
        <v>249</v>
      </c>
      <c r="E10" s="209">
        <f>Package_tbl6[[#This Row],[List Price]]*(1-Margin)</f>
        <v>199.20000000000002</v>
      </c>
    </row>
    <row r="11" spans="2:5" ht="47.25">
      <c r="B11" s="326" t="s">
        <v>185</v>
      </c>
      <c r="C11" s="325" t="s">
        <v>186</v>
      </c>
      <c r="D11" s="166">
        <v>359</v>
      </c>
      <c r="E11" s="209">
        <f>Package_tbl6[[#This Row],[List Price]]*(1-Margin)</f>
        <v>287.2</v>
      </c>
    </row>
    <row r="12" spans="2:5" ht="31.5">
      <c r="B12" s="327" t="s">
        <v>187</v>
      </c>
      <c r="C12" s="325" t="s">
        <v>188</v>
      </c>
      <c r="D12" s="196">
        <v>429</v>
      </c>
      <c r="E12" s="209">
        <f>Package_tbl6[[#This Row],[List Price]]*(1-Margin)</f>
        <v>343.20000000000005</v>
      </c>
    </row>
    <row r="13" spans="2:5" ht="31.5">
      <c r="B13" s="211" t="s">
        <v>189</v>
      </c>
      <c r="C13" s="212" t="s">
        <v>190</v>
      </c>
      <c r="D13" s="166">
        <v>299</v>
      </c>
      <c r="E13" s="209">
        <f>Package_tbl6[[#This Row],[List Price]]*(1-Margin)</f>
        <v>239.20000000000002</v>
      </c>
    </row>
    <row r="15" spans="2:5" ht="21.95" customHeight="1">
      <c r="B15" s="213" t="s">
        <v>15</v>
      </c>
      <c r="C15" s="109" t="s">
        <v>10</v>
      </c>
      <c r="D15" s="109" t="s">
        <v>177</v>
      </c>
      <c r="E15" s="214" t="s">
        <v>178</v>
      </c>
    </row>
    <row r="16" spans="2:5" ht="29.1" customHeight="1">
      <c r="B16" s="219" t="s">
        <v>16</v>
      </c>
      <c r="C16" s="325" t="s">
        <v>191</v>
      </c>
      <c r="D16" s="328" t="s">
        <v>192</v>
      </c>
      <c r="E16" s="329">
        <v>0</v>
      </c>
    </row>
    <row r="17" spans="1:7" ht="32.1" customHeight="1">
      <c r="B17" s="330" t="s">
        <v>193</v>
      </c>
      <c r="C17" s="331" t="s">
        <v>194</v>
      </c>
      <c r="D17" s="332">
        <v>99</v>
      </c>
      <c r="E17" s="329">
        <v>99</v>
      </c>
    </row>
    <row r="18" spans="1:7" ht="31.5">
      <c r="B18" s="330" t="s">
        <v>195</v>
      </c>
      <c r="C18" s="333" t="s">
        <v>196</v>
      </c>
      <c r="D18" s="334">
        <v>197</v>
      </c>
      <c r="E18" s="329">
        <v>197</v>
      </c>
    </row>
    <row r="19" spans="1:7" ht="31.5">
      <c r="A19" s="335"/>
      <c r="B19" s="330" t="s">
        <v>197</v>
      </c>
      <c r="C19" s="336" t="s">
        <v>198</v>
      </c>
      <c r="D19" s="337">
        <v>297</v>
      </c>
      <c r="E19" s="329">
        <v>297</v>
      </c>
    </row>
    <row r="20" spans="1:7" ht="31.5">
      <c r="A20" s="338"/>
      <c r="B20" s="219" t="s">
        <v>17</v>
      </c>
      <c r="C20" s="331" t="s">
        <v>199</v>
      </c>
      <c r="D20" s="197">
        <v>900</v>
      </c>
      <c r="E20" s="215">
        <v>900</v>
      </c>
    </row>
    <row r="21" spans="1:7" ht="31.5">
      <c r="A21" s="338"/>
      <c r="B21" s="339" t="s">
        <v>200</v>
      </c>
      <c r="C21" s="331" t="s">
        <v>201</v>
      </c>
      <c r="D21" s="197">
        <v>2550</v>
      </c>
      <c r="E21" s="215">
        <v>2550</v>
      </c>
    </row>
    <row r="22" spans="1:7" ht="31.5">
      <c r="A22" s="338"/>
      <c r="B22" s="219" t="s">
        <v>202</v>
      </c>
      <c r="C22" s="325" t="s">
        <v>203</v>
      </c>
      <c r="D22" s="197">
        <v>4000</v>
      </c>
      <c r="E22" s="215">
        <v>4000</v>
      </c>
    </row>
    <row r="23" spans="1:7" ht="31.5">
      <c r="A23" s="338"/>
      <c r="B23" s="219" t="s">
        <v>204</v>
      </c>
      <c r="C23" s="325" t="s">
        <v>205</v>
      </c>
      <c r="D23" s="197">
        <v>5250</v>
      </c>
      <c r="E23" s="215">
        <v>5250</v>
      </c>
    </row>
    <row r="24" spans="1:7" ht="47.25">
      <c r="A24" s="340"/>
      <c r="B24" s="341" t="s">
        <v>206</v>
      </c>
      <c r="C24" s="325" t="s">
        <v>207</v>
      </c>
      <c r="D24" s="332">
        <v>79</v>
      </c>
      <c r="E24" s="216">
        <f>AdvFeat_tbl9[[#This Row],[List Price]]*(1-Margin)</f>
        <v>63.2</v>
      </c>
      <c r="G24"/>
    </row>
    <row r="25" spans="1:7" ht="47.25">
      <c r="A25" s="342"/>
      <c r="B25" s="219" t="s">
        <v>208</v>
      </c>
      <c r="C25" s="325" t="s">
        <v>209</v>
      </c>
      <c r="D25" s="343">
        <v>299</v>
      </c>
      <c r="E25" s="216">
        <f>AdvFeat_tbl9[[#This Row],[List Price]]*(1-Margin)</f>
        <v>239.20000000000002</v>
      </c>
      <c r="G25"/>
    </row>
    <row r="26" spans="1:7">
      <c r="A26" s="342"/>
      <c r="B26" s="330" t="s">
        <v>210</v>
      </c>
      <c r="C26" s="331" t="s">
        <v>211</v>
      </c>
      <c r="D26" s="332">
        <v>90</v>
      </c>
      <c r="E26" s="216">
        <f>AdvFeat_tbl9[[#This Row],[List Price]]*(1-Margin)</f>
        <v>72</v>
      </c>
      <c r="G26"/>
    </row>
    <row r="27" spans="1:7" ht="31.5">
      <c r="B27" s="219" t="s">
        <v>148</v>
      </c>
      <c r="C27" s="325" t="s">
        <v>212</v>
      </c>
      <c r="D27" s="332">
        <v>199</v>
      </c>
      <c r="E27" s="216">
        <f>AdvFeat_tbl9[[#This Row],[List Price]]*(1-Margin)</f>
        <v>159.20000000000002</v>
      </c>
      <c r="G27"/>
    </row>
    <row r="28" spans="1:7" ht="47.25">
      <c r="B28" s="219" t="s">
        <v>147</v>
      </c>
      <c r="C28" s="325" t="s">
        <v>213</v>
      </c>
      <c r="D28" s="332">
        <v>199</v>
      </c>
      <c r="E28" s="216">
        <f>AdvFeat_tbl9[[#This Row],[List Price]]*(1-Margin)</f>
        <v>159.20000000000002</v>
      </c>
      <c r="G28"/>
    </row>
    <row r="29" spans="1:7" ht="35.1" customHeight="1">
      <c r="B29" s="217" t="s">
        <v>165</v>
      </c>
      <c r="C29" s="212" t="s">
        <v>166</v>
      </c>
      <c r="D29" s="154">
        <v>49</v>
      </c>
      <c r="E29" s="216">
        <f>AdvFeat_tbl9[[#This Row],[List Price]]*(1-Margin)</f>
        <v>39.200000000000003</v>
      </c>
      <c r="G29"/>
    </row>
    <row r="30" spans="1:7" ht="33" customHeight="1">
      <c r="B30" s="217" t="s">
        <v>167</v>
      </c>
      <c r="C30" s="212" t="s">
        <v>168</v>
      </c>
      <c r="D30" s="154">
        <v>79</v>
      </c>
      <c r="E30" s="216">
        <f>AdvFeat_tbl9[[#This Row],[List Price]]*(1-Margin)</f>
        <v>63.2</v>
      </c>
      <c r="G30"/>
    </row>
    <row r="31" spans="1:7" ht="31.5">
      <c r="B31" s="211" t="s">
        <v>169</v>
      </c>
      <c r="C31" s="218" t="s">
        <v>170</v>
      </c>
      <c r="D31" s="155">
        <v>499</v>
      </c>
      <c r="E31" s="216">
        <f>AdvFeat_tbl9[[#This Row],[List Price]]*(1-Margin)</f>
        <v>399.20000000000005</v>
      </c>
    </row>
    <row r="32" spans="1:7" ht="31.5">
      <c r="B32" s="211" t="s">
        <v>171</v>
      </c>
      <c r="C32" s="218" t="s">
        <v>172</v>
      </c>
      <c r="D32" s="155">
        <v>499</v>
      </c>
      <c r="E32" s="216">
        <f>AdvFeat_tbl9[[#This Row],[List Price]]*(1-Margin)</f>
        <v>399.20000000000005</v>
      </c>
    </row>
    <row r="33" spans="2:5" ht="47.25">
      <c r="B33" s="211" t="s">
        <v>173</v>
      </c>
      <c r="C33" s="212" t="s">
        <v>174</v>
      </c>
      <c r="D33" s="155">
        <v>900</v>
      </c>
      <c r="E33" s="216">
        <f>AdvFeat_tbl9[[#This Row],[List Price]]*(1-Margin)</f>
        <v>720</v>
      </c>
    </row>
    <row r="34" spans="2:5">
      <c r="B34" s="219" t="s">
        <v>214</v>
      </c>
      <c r="C34" s="325" t="s">
        <v>215</v>
      </c>
      <c r="D34" s="344">
        <v>59</v>
      </c>
      <c r="E34" s="216">
        <f>AdvFeat_tbl9[[#This Row],[List Price]]*(1-Margin)</f>
        <v>47.2</v>
      </c>
    </row>
    <row r="36" spans="2:5" ht="18" customHeight="1">
      <c r="B36" s="220" t="s">
        <v>216</v>
      </c>
      <c r="C36" s="221" t="s">
        <v>27</v>
      </c>
      <c r="D36" s="143" t="s">
        <v>177</v>
      </c>
      <c r="E36" s="222" t="s">
        <v>178</v>
      </c>
    </row>
    <row r="37" spans="2:5" ht="20.100000000000001" customHeight="1">
      <c r="B37" s="324" t="s">
        <v>18</v>
      </c>
      <c r="C37" s="345" t="s">
        <v>217</v>
      </c>
      <c r="D37" s="346">
        <v>0</v>
      </c>
      <c r="E37" s="203">
        <v>0</v>
      </c>
    </row>
    <row r="38" spans="2:5">
      <c r="B38" s="326" t="s">
        <v>28</v>
      </c>
      <c r="C38" s="347" t="s">
        <v>218</v>
      </c>
      <c r="D38" s="203">
        <v>0</v>
      </c>
      <c r="E38" s="348" t="s">
        <v>219</v>
      </c>
    </row>
    <row r="39" spans="2:5">
      <c r="B39" s="226" t="s">
        <v>29</v>
      </c>
      <c r="C39" s="349" t="s">
        <v>220</v>
      </c>
      <c r="D39" s="203">
        <v>500</v>
      </c>
      <c r="E39" s="203">
        <v>500</v>
      </c>
    </row>
    <row r="40" spans="2:5">
      <c r="B40" s="226" t="s">
        <v>221</v>
      </c>
      <c r="C40" s="349" t="s">
        <v>222</v>
      </c>
      <c r="D40" s="203">
        <v>250</v>
      </c>
      <c r="E40" s="203">
        <v>250</v>
      </c>
    </row>
    <row r="41" spans="2:5">
      <c r="B41" s="223" t="s">
        <v>223</v>
      </c>
      <c r="C41" s="349" t="s">
        <v>224</v>
      </c>
      <c r="D41" s="203">
        <v>150</v>
      </c>
      <c r="E41" s="203">
        <v>150</v>
      </c>
    </row>
    <row r="42" spans="2:5">
      <c r="B42" s="223" t="s">
        <v>30</v>
      </c>
      <c r="C42" s="349" t="s">
        <v>225</v>
      </c>
      <c r="D42" s="203">
        <v>2000</v>
      </c>
      <c r="E42" s="203">
        <v>2000</v>
      </c>
    </row>
    <row r="43" spans="2:5">
      <c r="B43" s="223" t="s">
        <v>31</v>
      </c>
      <c r="C43" s="349" t="s">
        <v>226</v>
      </c>
      <c r="D43" s="203">
        <v>2000</v>
      </c>
      <c r="E43" s="203">
        <v>2000</v>
      </c>
    </row>
    <row r="44" spans="2:5">
      <c r="B44" s="224" t="s">
        <v>227</v>
      </c>
      <c r="C44" s="225" t="s">
        <v>228</v>
      </c>
      <c r="D44" s="203">
        <v>225</v>
      </c>
      <c r="E44" s="203">
        <v>225</v>
      </c>
    </row>
    <row r="45" spans="2:5" ht="31.5">
      <c r="B45" s="224" t="s">
        <v>229</v>
      </c>
      <c r="C45" s="225" t="s">
        <v>230</v>
      </c>
      <c r="D45" s="203">
        <v>225</v>
      </c>
      <c r="E45" s="203">
        <v>225</v>
      </c>
    </row>
    <row r="46" spans="2:5" ht="31.5">
      <c r="B46" s="226" t="s">
        <v>231</v>
      </c>
      <c r="C46" s="349" t="s">
        <v>232</v>
      </c>
      <c r="D46" s="229">
        <v>500</v>
      </c>
      <c r="E46" s="350">
        <v>500</v>
      </c>
    </row>
    <row r="47" spans="2:5">
      <c r="B47" s="227" t="s">
        <v>233</v>
      </c>
      <c r="C47" s="225" t="s">
        <v>234</v>
      </c>
      <c r="D47" s="203">
        <v>500</v>
      </c>
      <c r="E47" s="203">
        <v>500</v>
      </c>
    </row>
    <row r="48" spans="2:5">
      <c r="B48" s="226" t="s">
        <v>235</v>
      </c>
      <c r="C48" s="218" t="s">
        <v>236</v>
      </c>
      <c r="D48" s="203">
        <v>3000</v>
      </c>
      <c r="E48" s="203">
        <v>3000</v>
      </c>
    </row>
    <row r="49" spans="2:5" ht="21" customHeight="1">
      <c r="B49" s="226" t="s">
        <v>237</v>
      </c>
      <c r="C49" s="218" t="s">
        <v>238</v>
      </c>
      <c r="D49" s="203">
        <v>8000</v>
      </c>
      <c r="E49" s="203">
        <v>8000</v>
      </c>
    </row>
    <row r="50" spans="2:5">
      <c r="B50" s="226" t="s">
        <v>239</v>
      </c>
      <c r="C50" s="228" t="s">
        <v>240</v>
      </c>
      <c r="D50" s="203">
        <v>500</v>
      </c>
      <c r="E50" s="229">
        <v>500</v>
      </c>
    </row>
    <row r="51" spans="2:5" ht="31.5">
      <c r="B51" s="226" t="s">
        <v>241</v>
      </c>
      <c r="C51" s="228" t="s">
        <v>242</v>
      </c>
      <c r="D51" s="203">
        <v>4000</v>
      </c>
      <c r="E51" s="229">
        <v>4000</v>
      </c>
    </row>
    <row r="52" spans="2:5" ht="31.5">
      <c r="B52" s="226" t="s">
        <v>243</v>
      </c>
      <c r="C52" s="228" t="s">
        <v>244</v>
      </c>
      <c r="D52" s="203">
        <v>4000</v>
      </c>
      <c r="E52" s="229">
        <v>4000</v>
      </c>
    </row>
    <row r="53" spans="2:5" ht="31.5">
      <c r="B53" s="227" t="s">
        <v>245</v>
      </c>
      <c r="C53" s="225" t="s">
        <v>246</v>
      </c>
      <c r="D53" s="229">
        <v>500</v>
      </c>
      <c r="E53" s="350">
        <v>500</v>
      </c>
    </row>
    <row r="54" spans="2:5" ht="31.5">
      <c r="B54" s="351" t="s">
        <v>247</v>
      </c>
      <c r="C54" s="351" t="s">
        <v>248</v>
      </c>
      <c r="D54" s="352">
        <v>175</v>
      </c>
      <c r="E54" s="353">
        <v>175</v>
      </c>
    </row>
    <row r="55" spans="2:5" ht="31.5">
      <c r="B55" s="351" t="s">
        <v>249</v>
      </c>
      <c r="C55" s="351" t="s">
        <v>248</v>
      </c>
      <c r="D55" s="352">
        <v>175</v>
      </c>
      <c r="E55" s="353">
        <v>175</v>
      </c>
    </row>
    <row r="56" spans="2:5">
      <c r="B56" s="227"/>
      <c r="C56" s="225"/>
      <c r="D56" s="344"/>
      <c r="E56" s="344"/>
    </row>
    <row r="57" spans="2:5" hidden="1">
      <c r="B57" s="230" t="s">
        <v>250</v>
      </c>
      <c r="C57" s="354"/>
      <c r="D57" s="344"/>
      <c r="E57" s="344"/>
    </row>
    <row r="58" spans="2:5" hidden="1">
      <c r="B58" s="355" t="s">
        <v>251</v>
      </c>
      <c r="C58" s="356"/>
      <c r="D58"/>
    </row>
    <row r="59" spans="2:5" hidden="1">
      <c r="B59" s="357" t="s">
        <v>110</v>
      </c>
      <c r="C59" s="358" t="s">
        <v>111</v>
      </c>
      <c r="D59"/>
    </row>
    <row r="60" spans="2:5" hidden="1">
      <c r="B60" s="210" t="s">
        <v>5</v>
      </c>
      <c r="C60" s="231">
        <v>0</v>
      </c>
      <c r="D60"/>
    </row>
    <row r="61" spans="2:5" hidden="1">
      <c r="B61" s="359" t="s">
        <v>96</v>
      </c>
      <c r="C61" s="231">
        <v>0.05</v>
      </c>
      <c r="D61"/>
    </row>
    <row r="62" spans="2:5" hidden="1">
      <c r="B62" s="359" t="s">
        <v>115</v>
      </c>
      <c r="C62" s="231">
        <v>0.1</v>
      </c>
    </row>
    <row r="63" spans="2:5" hidden="1">
      <c r="B63" s="359" t="s">
        <v>117</v>
      </c>
      <c r="C63" s="231">
        <v>0.15</v>
      </c>
    </row>
    <row r="64" spans="2:5" hidden="1">
      <c r="B64" s="359" t="s">
        <v>119</v>
      </c>
      <c r="C64" s="231">
        <v>0.2</v>
      </c>
    </row>
    <row r="65" spans="2:3" hidden="1">
      <c r="B65" s="359" t="s">
        <v>122</v>
      </c>
      <c r="C65" s="231">
        <v>0.25</v>
      </c>
    </row>
    <row r="66" spans="2:3" hidden="1">
      <c r="B66" s="359" t="s">
        <v>126</v>
      </c>
      <c r="C66" s="231">
        <v>0.3</v>
      </c>
    </row>
    <row r="67" spans="2:3" hidden="1">
      <c r="B67" s="359" t="s">
        <v>128</v>
      </c>
      <c r="C67" s="231">
        <v>0.35</v>
      </c>
    </row>
    <row r="68" spans="2:3" hidden="1">
      <c r="B68" s="327" t="s">
        <v>130</v>
      </c>
      <c r="C68" s="360"/>
    </row>
    <row r="69" spans="2:3" hidden="1"/>
    <row r="70" spans="2:3" hidden="1">
      <c r="B70" s="232" t="s">
        <v>252</v>
      </c>
      <c r="C70" s="233"/>
    </row>
    <row r="71" spans="2:3" hidden="1">
      <c r="B71" s="357" t="s">
        <v>110</v>
      </c>
      <c r="C71" s="358" t="s">
        <v>111</v>
      </c>
    </row>
    <row r="72" spans="2:3" hidden="1">
      <c r="B72" s="210" t="s">
        <v>5</v>
      </c>
      <c r="C72" s="231">
        <v>0</v>
      </c>
    </row>
    <row r="73" spans="2:3" hidden="1">
      <c r="B73" s="359" t="s">
        <v>96</v>
      </c>
      <c r="C73" s="361">
        <v>0.1</v>
      </c>
    </row>
    <row r="74" spans="2:3" hidden="1">
      <c r="B74" s="359" t="s">
        <v>115</v>
      </c>
      <c r="C74" s="361">
        <v>0.15</v>
      </c>
    </row>
    <row r="75" spans="2:3" hidden="1">
      <c r="B75" s="359" t="s">
        <v>117</v>
      </c>
      <c r="C75" s="361">
        <v>0.2</v>
      </c>
    </row>
    <row r="76" spans="2:3" hidden="1">
      <c r="B76" s="359" t="s">
        <v>119</v>
      </c>
      <c r="C76" s="361">
        <v>0.25</v>
      </c>
    </row>
    <row r="77" spans="2:3" hidden="1">
      <c r="B77" s="359" t="s">
        <v>122</v>
      </c>
      <c r="C77" s="361">
        <v>0.3</v>
      </c>
    </row>
    <row r="78" spans="2:3" hidden="1">
      <c r="B78" s="359" t="s">
        <v>126</v>
      </c>
      <c r="C78" s="361">
        <v>0</v>
      </c>
    </row>
    <row r="79" spans="2:3" hidden="1">
      <c r="B79" s="359" t="s">
        <v>128</v>
      </c>
      <c r="C79" s="361">
        <v>0</v>
      </c>
    </row>
    <row r="80" spans="2:3" hidden="1">
      <c r="B80" s="327" t="s">
        <v>130</v>
      </c>
      <c r="C80" s="360"/>
    </row>
    <row r="81" spans="2:3" hidden="1"/>
    <row r="82" spans="2:3" hidden="1">
      <c r="B82" s="232" t="s">
        <v>253</v>
      </c>
      <c r="C82" s="234" t="s">
        <v>254</v>
      </c>
    </row>
    <row r="83" spans="2:3" hidden="1">
      <c r="B83" s="210" t="s">
        <v>5</v>
      </c>
      <c r="C83" s="231">
        <v>0</v>
      </c>
    </row>
    <row r="84" spans="2:3" hidden="1">
      <c r="B84" s="210" t="s">
        <v>255</v>
      </c>
      <c r="C84" s="231">
        <v>0</v>
      </c>
    </row>
    <row r="85" spans="2:3" hidden="1">
      <c r="B85" s="210" t="s">
        <v>256</v>
      </c>
      <c r="C85" s="231">
        <v>0.25</v>
      </c>
    </row>
    <row r="86" spans="2:3" hidden="1">
      <c r="B86" s="210" t="s">
        <v>257</v>
      </c>
      <c r="C86" s="231">
        <v>0.5</v>
      </c>
    </row>
    <row r="87" spans="2:3" hidden="1">
      <c r="B87" s="210" t="s">
        <v>258</v>
      </c>
      <c r="C87" s="361">
        <v>1</v>
      </c>
    </row>
    <row r="88" spans="2:3" hidden="1">
      <c r="B88" s="211" t="s">
        <v>259</v>
      </c>
      <c r="C88" s="235">
        <v>1</v>
      </c>
    </row>
  </sheetData>
  <sheetProtection insertColumns="0" insertRows="0" deleteColumns="0" deleteRows="0"/>
  <mergeCells count="2">
    <mergeCell ref="A25:A26"/>
    <mergeCell ref="B58:C58"/>
  </mergeCells>
  <dataValidations count="1">
    <dataValidation type="list" showInputMessage="1" showErrorMessage="1" sqref="E4" xr:uid="{BF8B212D-2EB9-E74C-9B25-36352B0DC6D2}">
      <formula1>LocationQty</formula1>
    </dataValidation>
  </dataValidations>
  <pageMargins left="0.7" right="0.7" top="0.75" bottom="0.75" header="0.3" footer="0.3"/>
  <pageSetup orientation="portrait" horizontalDpi="0" verticalDpi="0"/>
  <drawing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4CA3-A7E3-024D-BE9B-46A3C4C1246E}">
  <dimension ref="A2:I106"/>
  <sheetViews>
    <sheetView showGridLines="0" topLeftCell="A68" zoomScale="120" zoomScaleNormal="120" workbookViewId="0">
      <selection activeCell="D75" sqref="D75"/>
    </sheetView>
  </sheetViews>
  <sheetFormatPr defaultColWidth="7.85546875" defaultRowHeight="15.75"/>
  <cols>
    <col min="1" max="1" width="7.85546875" style="105"/>
    <col min="2" max="2" width="32.42578125" style="105" customWidth="1"/>
    <col min="3" max="3" width="46.85546875" style="105" customWidth="1"/>
    <col min="4" max="4" width="15.140625" style="105" customWidth="1"/>
    <col min="5" max="5" width="17.28515625" style="105" customWidth="1"/>
    <col min="6" max="6" width="10.140625" style="105" customWidth="1"/>
    <col min="7" max="7" width="12.85546875" style="105" customWidth="1"/>
    <col min="8" max="8" width="7.85546875" style="105"/>
    <col min="9" max="10" width="12.85546875" style="105" customWidth="1"/>
    <col min="11" max="11" width="10.42578125" style="105" customWidth="1"/>
    <col min="12" max="16384" width="7.85546875" style="105"/>
  </cols>
  <sheetData>
    <row r="2" spans="2:7">
      <c r="E2" s="140" t="s">
        <v>175</v>
      </c>
    </row>
    <row r="3" spans="2:7">
      <c r="E3" s="141">
        <v>43833</v>
      </c>
    </row>
    <row r="4" spans="2:7" ht="21">
      <c r="C4" s="206" t="s">
        <v>176</v>
      </c>
      <c r="D4" s="207" t="s">
        <v>6</v>
      </c>
      <c r="E4" s="30" t="s">
        <v>5</v>
      </c>
    </row>
    <row r="5" spans="2:7" ht="18.75">
      <c r="D5" s="208" t="s">
        <v>8</v>
      </c>
      <c r="E5" s="236">
        <f>VLOOKUP(E4,MarginLookup,2,FALSE)</f>
        <v>0</v>
      </c>
    </row>
    <row r="7" spans="2:7" ht="18.75">
      <c r="B7" s="142" t="s">
        <v>9</v>
      </c>
      <c r="C7" s="142" t="s">
        <v>10</v>
      </c>
      <c r="D7" s="142" t="s">
        <v>177</v>
      </c>
      <c r="E7" s="142" t="s">
        <v>178</v>
      </c>
    </row>
    <row r="8" spans="2:7">
      <c r="B8" s="237" t="s">
        <v>14</v>
      </c>
      <c r="C8" s="237" t="s">
        <v>14</v>
      </c>
      <c r="D8" s="155">
        <v>0</v>
      </c>
      <c r="E8" s="155">
        <f>Package_tbl[[#This Row],[List Price]]*(1-Margin)</f>
        <v>0</v>
      </c>
    </row>
    <row r="9" spans="2:7" ht="31.5">
      <c r="B9" s="324" t="s">
        <v>179</v>
      </c>
      <c r="C9" s="325" t="s">
        <v>180</v>
      </c>
      <c r="D9" s="106">
        <v>109</v>
      </c>
      <c r="E9" s="155">
        <f>Package_tbl[[#This Row],[List Price]]*(1-Margin)</f>
        <v>109</v>
      </c>
    </row>
    <row r="10" spans="2:7" ht="31.5">
      <c r="B10" s="210" t="s">
        <v>181</v>
      </c>
      <c r="C10" s="325" t="s">
        <v>182</v>
      </c>
      <c r="D10" s="107">
        <v>129</v>
      </c>
      <c r="E10" s="155">
        <f>Package_tbl[[#This Row],[List Price]]*(1-Margin)</f>
        <v>129</v>
      </c>
    </row>
    <row r="11" spans="2:7" ht="31.5">
      <c r="B11" s="326" t="s">
        <v>183</v>
      </c>
      <c r="C11" s="325" t="s">
        <v>184</v>
      </c>
      <c r="D11" s="107">
        <v>249</v>
      </c>
      <c r="E11" s="155">
        <f>Package_tbl[[#This Row],[List Price]]*(1-Margin)</f>
        <v>249</v>
      </c>
    </row>
    <row r="12" spans="2:7" ht="47.25">
      <c r="B12" s="326" t="s">
        <v>185</v>
      </c>
      <c r="C12" s="325" t="s">
        <v>186</v>
      </c>
      <c r="D12" s="107">
        <v>359</v>
      </c>
      <c r="E12" s="155">
        <f>Package_tbl[[#This Row],[List Price]]*(1-Margin)</f>
        <v>359</v>
      </c>
      <c r="G12" s="238"/>
    </row>
    <row r="13" spans="2:7" ht="31.5">
      <c r="B13" s="327" t="s">
        <v>187</v>
      </c>
      <c r="C13" s="325" t="s">
        <v>188</v>
      </c>
      <c r="D13" s="108">
        <v>429</v>
      </c>
      <c r="E13" s="155">
        <f>Package_tbl[[#This Row],[List Price]]*(1-Margin)</f>
        <v>429</v>
      </c>
      <c r="G13" s="238"/>
    </row>
    <row r="14" spans="2:7" ht="31.5">
      <c r="B14" s="211" t="s">
        <v>189</v>
      </c>
      <c r="C14" s="212" t="s">
        <v>190</v>
      </c>
      <c r="D14" s="107">
        <v>299</v>
      </c>
      <c r="E14" s="239">
        <f>Package_tbl[[#This Row],[List Price]]*(1-Margin)</f>
        <v>299</v>
      </c>
      <c r="G14" s="238"/>
    </row>
    <row r="15" spans="2:7">
      <c r="G15" s="238"/>
    </row>
    <row r="16" spans="2:7" ht="30" customHeight="1">
      <c r="B16" s="213" t="s">
        <v>15</v>
      </c>
      <c r="C16" s="109" t="s">
        <v>10</v>
      </c>
      <c r="D16" s="109" t="s">
        <v>177</v>
      </c>
      <c r="E16" s="214" t="s">
        <v>178</v>
      </c>
    </row>
    <row r="17" spans="1:5" ht="32.1" customHeight="1">
      <c r="B17" s="219" t="s">
        <v>16</v>
      </c>
      <c r="C17" s="325" t="s">
        <v>191</v>
      </c>
      <c r="D17" s="362" t="s">
        <v>192</v>
      </c>
      <c r="E17" s="350">
        <v>0</v>
      </c>
    </row>
    <row r="18" spans="1:5" ht="33.950000000000003" customHeight="1">
      <c r="B18" s="330" t="s">
        <v>193</v>
      </c>
      <c r="C18" s="331" t="s">
        <v>194</v>
      </c>
      <c r="D18" s="363">
        <v>99</v>
      </c>
      <c r="E18" s="350">
        <v>99</v>
      </c>
    </row>
    <row r="19" spans="1:5" ht="38.1" customHeight="1">
      <c r="B19" s="330" t="s">
        <v>195</v>
      </c>
      <c r="C19" s="333" t="s">
        <v>196</v>
      </c>
      <c r="D19" s="344">
        <v>197</v>
      </c>
      <c r="E19" s="350">
        <v>197</v>
      </c>
    </row>
    <row r="20" spans="1:5" ht="31.5">
      <c r="A20" s="342"/>
      <c r="B20" s="330" t="s">
        <v>197</v>
      </c>
      <c r="C20" s="336" t="s">
        <v>198</v>
      </c>
      <c r="D20" s="364">
        <v>297</v>
      </c>
      <c r="E20" s="350">
        <v>297</v>
      </c>
    </row>
    <row r="21" spans="1:5">
      <c r="A21" s="342"/>
      <c r="B21" s="219" t="s">
        <v>18</v>
      </c>
      <c r="C21" s="325" t="s">
        <v>217</v>
      </c>
      <c r="D21" s="164">
        <v>0</v>
      </c>
      <c r="E21" s="350">
        <v>297</v>
      </c>
    </row>
    <row r="22" spans="1:5" ht="31.5">
      <c r="A22" s="338"/>
      <c r="B22" s="219" t="s">
        <v>17</v>
      </c>
      <c r="C22" s="331" t="s">
        <v>199</v>
      </c>
      <c r="D22" s="164">
        <v>900</v>
      </c>
      <c r="E22" s="240">
        <v>900</v>
      </c>
    </row>
    <row r="23" spans="1:5" ht="31.5">
      <c r="A23" s="338"/>
      <c r="B23" s="339" t="s">
        <v>200</v>
      </c>
      <c r="C23" s="331" t="s">
        <v>201</v>
      </c>
      <c r="D23" s="164">
        <v>2550</v>
      </c>
      <c r="E23" s="240">
        <v>2550</v>
      </c>
    </row>
    <row r="24" spans="1:5" ht="31.5">
      <c r="A24" s="338"/>
      <c r="B24" s="219" t="s">
        <v>202</v>
      </c>
      <c r="C24" s="325" t="s">
        <v>203</v>
      </c>
      <c r="D24" s="164">
        <v>4000</v>
      </c>
      <c r="E24" s="240">
        <v>4000</v>
      </c>
    </row>
    <row r="25" spans="1:5" ht="31.5">
      <c r="A25" s="338"/>
      <c r="B25" s="219" t="s">
        <v>204</v>
      </c>
      <c r="C25" s="325" t="s">
        <v>205</v>
      </c>
      <c r="D25" s="164">
        <v>5250</v>
      </c>
      <c r="E25" s="240">
        <v>5250</v>
      </c>
    </row>
    <row r="26" spans="1:5">
      <c r="A26" s="338"/>
      <c r="B26" s="219" t="s">
        <v>18</v>
      </c>
      <c r="C26" s="325" t="s">
        <v>217</v>
      </c>
      <c r="D26" s="164">
        <v>0</v>
      </c>
      <c r="E26" s="239">
        <f>AdvFeat_tbl[[#This Row],[List Price]]*(1-Margin)</f>
        <v>0</v>
      </c>
    </row>
    <row r="27" spans="1:5" ht="47.25">
      <c r="A27" s="340"/>
      <c r="B27" s="341" t="s">
        <v>206</v>
      </c>
      <c r="C27" s="325" t="s">
        <v>207</v>
      </c>
      <c r="D27" s="363">
        <v>79</v>
      </c>
      <c r="E27" s="239">
        <f>AdvFeat_tbl[[#This Row],[List Price]]*(1-Margin)</f>
        <v>79</v>
      </c>
    </row>
    <row r="28" spans="1:5" ht="47.25">
      <c r="A28" s="342"/>
      <c r="B28" s="219" t="s">
        <v>208</v>
      </c>
      <c r="C28" s="325" t="s">
        <v>209</v>
      </c>
      <c r="D28" s="229">
        <v>299</v>
      </c>
      <c r="E28" s="239">
        <f>AdvFeat_tbl[[#This Row],[List Price]]*(1-Margin)</f>
        <v>299</v>
      </c>
    </row>
    <row r="29" spans="1:5">
      <c r="A29" s="342"/>
      <c r="B29" s="330" t="s">
        <v>210</v>
      </c>
      <c r="C29" s="331" t="s">
        <v>211</v>
      </c>
      <c r="D29" s="363">
        <v>90</v>
      </c>
      <c r="E29" s="239">
        <f>AdvFeat_tbl[[#This Row],[List Price]]*(1-Margin)</f>
        <v>90</v>
      </c>
    </row>
    <row r="30" spans="1:5" ht="31.5">
      <c r="B30" s="219" t="s">
        <v>148</v>
      </c>
      <c r="C30" s="325" t="s">
        <v>212</v>
      </c>
      <c r="D30" s="363">
        <v>199</v>
      </c>
      <c r="E30" s="239">
        <f>AdvFeat_tbl[[#This Row],[List Price]]*(1-Margin)</f>
        <v>199</v>
      </c>
    </row>
    <row r="31" spans="1:5" ht="47.25">
      <c r="B31" s="219" t="s">
        <v>147</v>
      </c>
      <c r="C31" s="325" t="s">
        <v>213</v>
      </c>
      <c r="D31" s="363">
        <v>199</v>
      </c>
      <c r="E31" s="239">
        <f>AdvFeat_tbl[[#This Row],[List Price]]*(1-Margin)</f>
        <v>199</v>
      </c>
    </row>
    <row r="32" spans="1:5" ht="32.1" customHeight="1">
      <c r="B32" s="217" t="s">
        <v>165</v>
      </c>
      <c r="C32" s="212" t="s">
        <v>166</v>
      </c>
      <c r="D32" s="154">
        <v>49</v>
      </c>
      <c r="E32" s="239">
        <f>AdvFeat_tbl[[#This Row],[List Price]]*(1-Margin)</f>
        <v>49</v>
      </c>
    </row>
    <row r="33" spans="2:9" ht="30.95" customHeight="1">
      <c r="B33" s="217" t="s">
        <v>167</v>
      </c>
      <c r="C33" s="212" t="s">
        <v>168</v>
      </c>
      <c r="D33" s="154">
        <v>79</v>
      </c>
      <c r="E33" s="239">
        <f>AdvFeat_tbl[[#This Row],[List Price]]*(1-Margin)</f>
        <v>79</v>
      </c>
      <c r="G33"/>
    </row>
    <row r="34" spans="2:9" ht="31.5">
      <c r="B34" s="211" t="s">
        <v>169</v>
      </c>
      <c r="C34" s="218" t="s">
        <v>170</v>
      </c>
      <c r="D34" s="155">
        <v>499</v>
      </c>
      <c r="E34" s="239">
        <f>AdvFeat_tbl[[#This Row],[List Price]]*(1-Margin)</f>
        <v>499</v>
      </c>
    </row>
    <row r="35" spans="2:9" ht="31.5">
      <c r="B35" s="211" t="s">
        <v>171</v>
      </c>
      <c r="C35" s="218" t="s">
        <v>172</v>
      </c>
      <c r="D35" s="155">
        <v>499</v>
      </c>
      <c r="E35" s="239">
        <f>AdvFeat_tbl[[#This Row],[List Price]]*(1-Margin)</f>
        <v>499</v>
      </c>
    </row>
    <row r="36" spans="2:9" ht="47.25">
      <c r="B36" s="211" t="s">
        <v>173</v>
      </c>
      <c r="C36" s="212" t="s">
        <v>174</v>
      </c>
      <c r="D36" s="155">
        <v>900</v>
      </c>
      <c r="E36" s="239">
        <f>AdvFeat_tbl[[#This Row],[List Price]]*(1-Margin)</f>
        <v>900</v>
      </c>
    </row>
    <row r="37" spans="2:9">
      <c r="B37" s="219" t="s">
        <v>214</v>
      </c>
      <c r="C37" s="325" t="s">
        <v>215</v>
      </c>
      <c r="D37" s="344">
        <v>59</v>
      </c>
      <c r="E37" s="239">
        <f>AdvFeat_tbl[[#This Row],[List Price]]*(1-Margin)</f>
        <v>59</v>
      </c>
    </row>
    <row r="39" spans="2:9" ht="18.75">
      <c r="B39" s="220" t="s">
        <v>216</v>
      </c>
      <c r="C39" s="221" t="s">
        <v>27</v>
      </c>
      <c r="D39" s="143" t="s">
        <v>177</v>
      </c>
      <c r="E39" s="222" t="s">
        <v>178</v>
      </c>
    </row>
    <row r="40" spans="2:9">
      <c r="B40" s="324" t="s">
        <v>18</v>
      </c>
      <c r="C40" s="345" t="s">
        <v>217</v>
      </c>
      <c r="D40" s="346">
        <v>0</v>
      </c>
      <c r="E40" s="203">
        <v>0</v>
      </c>
    </row>
    <row r="41" spans="2:9">
      <c r="B41" s="326" t="s">
        <v>28</v>
      </c>
      <c r="C41" s="347" t="s">
        <v>218</v>
      </c>
      <c r="D41" s="203">
        <v>0</v>
      </c>
      <c r="E41" s="348" t="s">
        <v>219</v>
      </c>
    </row>
    <row r="42" spans="2:9">
      <c r="B42" s="226" t="s">
        <v>29</v>
      </c>
      <c r="C42" s="349" t="s">
        <v>220</v>
      </c>
      <c r="D42" s="203">
        <v>500</v>
      </c>
      <c r="E42" s="203">
        <v>500</v>
      </c>
    </row>
    <row r="43" spans="2:9">
      <c r="B43" s="226" t="s">
        <v>221</v>
      </c>
      <c r="C43" s="349" t="s">
        <v>222</v>
      </c>
      <c r="D43" s="203">
        <v>250</v>
      </c>
      <c r="E43" s="203">
        <v>250</v>
      </c>
    </row>
    <row r="44" spans="2:9">
      <c r="B44" s="241" t="s">
        <v>223</v>
      </c>
      <c r="C44" s="349" t="s">
        <v>224</v>
      </c>
      <c r="D44" s="203">
        <v>150</v>
      </c>
      <c r="E44" s="203">
        <v>150</v>
      </c>
    </row>
    <row r="45" spans="2:9">
      <c r="B45" s="226" t="s">
        <v>30</v>
      </c>
      <c r="C45" s="349" t="s">
        <v>225</v>
      </c>
      <c r="D45" s="203">
        <v>2000</v>
      </c>
      <c r="E45" s="203">
        <v>2000</v>
      </c>
    </row>
    <row r="46" spans="2:9">
      <c r="B46" s="226" t="s">
        <v>31</v>
      </c>
      <c r="C46" s="349" t="s">
        <v>226</v>
      </c>
      <c r="D46" s="203">
        <v>2000</v>
      </c>
      <c r="E46" s="203">
        <v>2000</v>
      </c>
    </row>
    <row r="47" spans="2:9">
      <c r="B47" s="242" t="s">
        <v>227</v>
      </c>
      <c r="C47" s="225" t="s">
        <v>228</v>
      </c>
      <c r="D47" s="203">
        <v>225</v>
      </c>
      <c r="E47" s="203">
        <v>225</v>
      </c>
    </row>
    <row r="48" spans="2:9" ht="31.5">
      <c r="B48" s="243" t="s">
        <v>229</v>
      </c>
      <c r="C48" s="225" t="s">
        <v>230</v>
      </c>
      <c r="D48" s="203">
        <v>225</v>
      </c>
      <c r="E48" s="203">
        <v>225</v>
      </c>
      <c r="G48"/>
      <c r="I48" s="244"/>
    </row>
    <row r="49" spans="2:9" ht="31.5">
      <c r="B49" s="226" t="s">
        <v>231</v>
      </c>
      <c r="C49" s="349" t="s">
        <v>232</v>
      </c>
      <c r="D49" s="229">
        <v>500</v>
      </c>
      <c r="E49" s="350">
        <v>500</v>
      </c>
      <c r="I49" s="244"/>
    </row>
    <row r="50" spans="2:9">
      <c r="B50" s="227" t="s">
        <v>233</v>
      </c>
      <c r="C50" s="225" t="s">
        <v>234</v>
      </c>
      <c r="D50" s="203">
        <v>500</v>
      </c>
      <c r="E50" s="203">
        <v>500</v>
      </c>
      <c r="I50" s="244"/>
    </row>
    <row r="51" spans="2:9" ht="21" customHeight="1">
      <c r="B51" s="226" t="s">
        <v>235</v>
      </c>
      <c r="C51" s="218" t="s">
        <v>236</v>
      </c>
      <c r="D51" s="203">
        <v>3000</v>
      </c>
      <c r="E51" s="203">
        <v>3000</v>
      </c>
      <c r="I51" s="244"/>
    </row>
    <row r="52" spans="2:9" ht="18.95" customHeight="1">
      <c r="B52" s="226" t="s">
        <v>237</v>
      </c>
      <c r="C52" s="218" t="s">
        <v>238</v>
      </c>
      <c r="D52" s="203">
        <v>8000</v>
      </c>
      <c r="E52" s="203">
        <v>8000</v>
      </c>
    </row>
    <row r="53" spans="2:9" ht="18.95" customHeight="1">
      <c r="B53" s="226" t="s">
        <v>239</v>
      </c>
      <c r="C53" s="228" t="s">
        <v>240</v>
      </c>
      <c r="D53" s="203">
        <v>500</v>
      </c>
      <c r="E53" s="229">
        <v>500</v>
      </c>
    </row>
    <row r="54" spans="2:9" ht="31.5">
      <c r="B54" s="226" t="s">
        <v>241</v>
      </c>
      <c r="C54" s="228" t="s">
        <v>242</v>
      </c>
      <c r="D54" s="203">
        <v>4000</v>
      </c>
      <c r="E54" s="229">
        <v>4000</v>
      </c>
    </row>
    <row r="55" spans="2:9" ht="31.5">
      <c r="B55" s="226" t="s">
        <v>243</v>
      </c>
      <c r="C55" s="228" t="s">
        <v>244</v>
      </c>
      <c r="D55" s="203">
        <v>4000</v>
      </c>
      <c r="E55" s="229">
        <v>4000</v>
      </c>
    </row>
    <row r="56" spans="2:9" ht="31.5">
      <c r="B56" s="227" t="s">
        <v>245</v>
      </c>
      <c r="C56" s="225" t="s">
        <v>246</v>
      </c>
      <c r="D56" s="229">
        <v>500</v>
      </c>
      <c r="E56" s="350">
        <v>500</v>
      </c>
    </row>
    <row r="57" spans="2:9" ht="31.5">
      <c r="B57" s="351" t="s">
        <v>247</v>
      </c>
      <c r="C57" s="351" t="s">
        <v>248</v>
      </c>
      <c r="D57" s="352">
        <v>175</v>
      </c>
      <c r="E57" s="353">
        <v>175</v>
      </c>
    </row>
    <row r="58" spans="2:9" ht="31.5">
      <c r="B58" s="351" t="s">
        <v>249</v>
      </c>
      <c r="C58" s="351" t="s">
        <v>248</v>
      </c>
      <c r="D58" s="352">
        <v>175</v>
      </c>
      <c r="E58" s="353">
        <v>175</v>
      </c>
    </row>
    <row r="59" spans="2:9">
      <c r="B59" s="227"/>
      <c r="C59" s="225"/>
      <c r="D59" s="363"/>
      <c r="E59" s="344"/>
    </row>
    <row r="60" spans="2:9">
      <c r="B60" s="230" t="s">
        <v>250</v>
      </c>
      <c r="D60" s="344"/>
      <c r="E60" s="344"/>
    </row>
    <row r="61" spans="2:9">
      <c r="B61" s="365" t="s">
        <v>251</v>
      </c>
      <c r="C61" s="366"/>
      <c r="D61" s="167" t="s">
        <v>260</v>
      </c>
      <c r="F61" s="105" t="s">
        <v>261</v>
      </c>
    </row>
    <row r="62" spans="2:9">
      <c r="B62" s="357" t="s">
        <v>110</v>
      </c>
      <c r="C62" s="358" t="s">
        <v>111</v>
      </c>
      <c r="D62" s="144" t="s">
        <v>262</v>
      </c>
      <c r="F62" s="310" t="s">
        <v>263</v>
      </c>
      <c r="G62" s="310"/>
    </row>
    <row r="63" spans="2:9">
      <c r="B63" s="210" t="s">
        <v>5</v>
      </c>
      <c r="C63" s="231">
        <v>0</v>
      </c>
      <c r="D63" s="144" t="s">
        <v>143</v>
      </c>
      <c r="F63" s="245" t="s">
        <v>110</v>
      </c>
      <c r="G63" s="245" t="s">
        <v>111</v>
      </c>
    </row>
    <row r="64" spans="2:9">
      <c r="B64" s="359" t="s">
        <v>96</v>
      </c>
      <c r="C64" s="231">
        <v>0.05</v>
      </c>
      <c r="D64" s="145"/>
      <c r="F64" s="246" t="s">
        <v>264</v>
      </c>
      <c r="G64" s="247">
        <v>0.2</v>
      </c>
    </row>
    <row r="65" spans="2:7">
      <c r="B65" s="359" t="s">
        <v>115</v>
      </c>
      <c r="C65" s="231">
        <v>0.1</v>
      </c>
      <c r="F65" s="248" t="s">
        <v>117</v>
      </c>
      <c r="G65" s="247">
        <v>0.22</v>
      </c>
    </row>
    <row r="66" spans="2:7">
      <c r="B66" s="359" t="s">
        <v>117</v>
      </c>
      <c r="C66" s="231">
        <v>0.15</v>
      </c>
      <c r="F66" s="248" t="s">
        <v>119</v>
      </c>
      <c r="G66" s="247">
        <v>0.25</v>
      </c>
    </row>
    <row r="67" spans="2:7">
      <c r="B67" s="359" t="s">
        <v>119</v>
      </c>
      <c r="C67" s="231">
        <v>0.2</v>
      </c>
      <c r="F67" s="248" t="s">
        <v>265</v>
      </c>
      <c r="G67" s="247">
        <v>0.3</v>
      </c>
    </row>
    <row r="68" spans="2:7">
      <c r="B68" s="359" t="s">
        <v>122</v>
      </c>
      <c r="C68" s="231">
        <v>0.25</v>
      </c>
      <c r="F68" s="248" t="s">
        <v>266</v>
      </c>
      <c r="G68" s="247">
        <v>0.35</v>
      </c>
    </row>
    <row r="69" spans="2:7">
      <c r="B69" s="359" t="s">
        <v>126</v>
      </c>
      <c r="C69" s="231">
        <v>0.3</v>
      </c>
      <c r="F69" s="248" t="s">
        <v>267</v>
      </c>
      <c r="G69" s="247">
        <v>0.4</v>
      </c>
    </row>
    <row r="70" spans="2:7">
      <c r="B70" s="359" t="s">
        <v>128</v>
      </c>
      <c r="C70" s="231">
        <v>0.35</v>
      </c>
      <c r="F70" s="248" t="s">
        <v>128</v>
      </c>
      <c r="G70" s="247">
        <v>0.45</v>
      </c>
    </row>
    <row r="71" spans="2:7">
      <c r="B71" s="327" t="s">
        <v>130</v>
      </c>
      <c r="C71" s="360"/>
    </row>
    <row r="73" spans="2:7">
      <c r="B73" s="232" t="s">
        <v>252</v>
      </c>
      <c r="C73" s="233"/>
    </row>
    <row r="74" spans="2:7">
      <c r="B74" s="357" t="s">
        <v>110</v>
      </c>
      <c r="C74" s="358" t="s">
        <v>111</v>
      </c>
    </row>
    <row r="75" spans="2:7">
      <c r="B75" s="210" t="s">
        <v>5</v>
      </c>
      <c r="C75" s="231">
        <v>0</v>
      </c>
    </row>
    <row r="76" spans="2:7">
      <c r="B76" s="359" t="s">
        <v>96</v>
      </c>
      <c r="C76" s="361">
        <v>0.1</v>
      </c>
    </row>
    <row r="77" spans="2:7">
      <c r="B77" s="359" t="s">
        <v>115</v>
      </c>
      <c r="C77" s="361">
        <v>0.15</v>
      </c>
    </row>
    <row r="78" spans="2:7">
      <c r="B78" s="359" t="s">
        <v>117</v>
      </c>
      <c r="C78" s="361">
        <v>0.2</v>
      </c>
    </row>
    <row r="79" spans="2:7">
      <c r="B79" s="359" t="s">
        <v>119</v>
      </c>
      <c r="C79" s="361">
        <v>0.25</v>
      </c>
    </row>
    <row r="80" spans="2:7">
      <c r="B80" s="359" t="s">
        <v>122</v>
      </c>
      <c r="C80" s="361">
        <v>0.3</v>
      </c>
    </row>
    <row r="81" spans="2:3">
      <c r="B81" s="359" t="s">
        <v>126</v>
      </c>
      <c r="C81" s="361">
        <v>0</v>
      </c>
    </row>
    <row r="82" spans="2:3">
      <c r="B82" s="359" t="s">
        <v>128</v>
      </c>
      <c r="C82" s="361">
        <v>0</v>
      </c>
    </row>
    <row r="83" spans="2:3">
      <c r="B83" s="327" t="s">
        <v>130</v>
      </c>
      <c r="C83" s="360"/>
    </row>
    <row r="85" spans="2:3">
      <c r="B85" s="308" t="s">
        <v>36</v>
      </c>
      <c r="C85" s="309"/>
    </row>
    <row r="86" spans="2:3">
      <c r="B86" s="326" t="s">
        <v>268</v>
      </c>
      <c r="C86" s="144" t="s">
        <v>18</v>
      </c>
    </row>
    <row r="87" spans="2:3">
      <c r="B87" s="326"/>
      <c r="C87" s="367" t="s">
        <v>269</v>
      </c>
    </row>
    <row r="88" spans="2:3">
      <c r="B88" s="326"/>
      <c r="C88" s="367" t="s">
        <v>270</v>
      </c>
    </row>
    <row r="89" spans="2:3">
      <c r="B89" s="210"/>
      <c r="C89" s="367" t="s">
        <v>271</v>
      </c>
    </row>
    <row r="90" spans="2:3">
      <c r="B90" s="210" t="s">
        <v>272</v>
      </c>
      <c r="C90" s="249">
        <v>1</v>
      </c>
    </row>
    <row r="91" spans="2:3">
      <c r="B91" s="210"/>
      <c r="C91" s="249">
        <v>2</v>
      </c>
    </row>
    <row r="92" spans="2:3">
      <c r="B92" s="210"/>
      <c r="C92" s="249">
        <v>3</v>
      </c>
    </row>
    <row r="93" spans="2:3">
      <c r="B93" s="210"/>
      <c r="C93" s="249">
        <v>4</v>
      </c>
    </row>
    <row r="94" spans="2:3">
      <c r="B94" s="210"/>
      <c r="C94" s="249">
        <v>5</v>
      </c>
    </row>
    <row r="95" spans="2:3">
      <c r="B95" s="210"/>
      <c r="C95" s="249">
        <v>6</v>
      </c>
    </row>
    <row r="96" spans="2:3">
      <c r="B96" s="210" t="s">
        <v>273</v>
      </c>
      <c r="C96" s="144" t="s">
        <v>45</v>
      </c>
    </row>
    <row r="97" spans="2:4">
      <c r="B97" s="210"/>
      <c r="C97" s="144" t="s">
        <v>274</v>
      </c>
    </row>
    <row r="98" spans="2:4">
      <c r="B98" s="327" t="s">
        <v>275</v>
      </c>
      <c r="C98" s="145" t="s">
        <v>276</v>
      </c>
      <c r="D98" s="368"/>
    </row>
    <row r="99" spans="2:4">
      <c r="B99" s="368"/>
      <c r="D99" s="368"/>
    </row>
    <row r="100" spans="2:4">
      <c r="B100" s="232" t="s">
        <v>253</v>
      </c>
      <c r="C100" s="234" t="s">
        <v>254</v>
      </c>
    </row>
    <row r="101" spans="2:4">
      <c r="B101" s="210" t="s">
        <v>5</v>
      </c>
      <c r="C101" s="231">
        <v>0</v>
      </c>
    </row>
    <row r="102" spans="2:4">
      <c r="B102" s="210" t="s">
        <v>255</v>
      </c>
      <c r="C102" s="231">
        <v>0</v>
      </c>
    </row>
    <row r="103" spans="2:4">
      <c r="B103" s="210" t="s">
        <v>256</v>
      </c>
      <c r="C103" s="231">
        <v>0.25</v>
      </c>
    </row>
    <row r="104" spans="2:4">
      <c r="B104" s="210" t="s">
        <v>257</v>
      </c>
      <c r="C104" s="231">
        <v>0.5</v>
      </c>
    </row>
    <row r="105" spans="2:4">
      <c r="B105" s="210" t="s">
        <v>258</v>
      </c>
      <c r="C105" s="361">
        <v>1</v>
      </c>
    </row>
    <row r="106" spans="2:4">
      <c r="B106" s="211" t="s">
        <v>259</v>
      </c>
      <c r="C106" s="235">
        <v>1</v>
      </c>
    </row>
  </sheetData>
  <sheetProtection insertColumns="0" insertRows="0" deleteColumns="0" deleteRows="0"/>
  <mergeCells count="5">
    <mergeCell ref="A28:A29"/>
    <mergeCell ref="A20:A21"/>
    <mergeCell ref="B85:C85"/>
    <mergeCell ref="B61:C61"/>
    <mergeCell ref="F62:G62"/>
  </mergeCells>
  <phoneticPr fontId="31" type="noConversion"/>
  <dataValidations count="1">
    <dataValidation type="list" showInputMessage="1" showErrorMessage="1" sqref="E4" xr:uid="{298F5AB0-E5A8-5146-AFD0-42D3A90BED60}">
      <formula1>LocationQty</formula1>
    </dataValidation>
  </dataValidations>
  <pageMargins left="0.7" right="0.7" top="0.75" bottom="0.75" header="0.3" footer="0.3"/>
  <pageSetup orientation="portrait" horizontalDpi="0" verticalDpi="0"/>
  <drawing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A680197BF6D0840833D595296F53D04" ma:contentTypeVersion="12" ma:contentTypeDescription="Create a new document." ma:contentTypeScope="" ma:versionID="045564e7e9572d0efde7580eaed8a51a">
  <xsd:schema xmlns:xsd="http://www.w3.org/2001/XMLSchema" xmlns:xs="http://www.w3.org/2001/XMLSchema" xmlns:p="http://schemas.microsoft.com/office/2006/metadata/properties" xmlns:ns2="5a95372c-2157-4824-a3f5-f33b7164ce90" xmlns:ns3="d9739007-c22b-434d-b19f-beefeb60e9fa" targetNamespace="http://schemas.microsoft.com/office/2006/metadata/properties" ma:root="true" ma:fieldsID="1c3627a844dfb39e942aef10c158f189" ns2:_="" ns3:_="">
    <xsd:import namespace="5a95372c-2157-4824-a3f5-f33b7164ce90"/>
    <xsd:import namespace="d9739007-c22b-434d-b19f-beefeb60e9f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DateTaken"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95372c-2157-4824-a3f5-f33b7164ce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9739007-c22b-434d-b19f-beefeb60e9f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6F3265-8DA6-4196-A8E6-280FFBFD484A}"/>
</file>

<file path=customXml/itemProps2.xml><?xml version="1.0" encoding="utf-8"?>
<ds:datastoreItem xmlns:ds="http://schemas.openxmlformats.org/officeDocument/2006/customXml" ds:itemID="{F9197810-FCBD-4EEF-92AE-990ACD6666D5}"/>
</file>

<file path=customXml/itemProps3.xml><?xml version="1.0" encoding="utf-8"?>
<ds:datastoreItem xmlns:ds="http://schemas.openxmlformats.org/officeDocument/2006/customXml" ds:itemID="{1D968CC5-E572-484D-9E87-BBD727C2EB7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ENT Partner Order Forms</dc:title>
  <dc:subject/>
  <dc:creator>Laura Massey</dc:creator>
  <cp:keywords/>
  <dc:description/>
  <cp:lastModifiedBy>Lakkam Sridevi</cp:lastModifiedBy>
  <cp:revision/>
  <dcterms:created xsi:type="dcterms:W3CDTF">2019-08-08T15:13:44Z</dcterms:created>
  <dcterms:modified xsi:type="dcterms:W3CDTF">2022-04-18T05:19:54Z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0x0101007A680197BF6D0840833D595296F53D04</vt:lpwstr>
  </property>
</Properties>
</file>